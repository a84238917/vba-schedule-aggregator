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062383\Desktop\マクロ\工程表抽出マクロ\20250529-Github v0.0.1\src\"/>
    </mc:Choice>
  </mc:AlternateContent>
  <xr:revisionPtr revIDLastSave="0" documentId="13_ncr:1_{51261F6B-CA3D-4AF9-AEF9-9F660D82571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メニュー" sheetId="1" r:id="rId1"/>
    <sheet name="リスト" sheetId="2" r:id="rId2"/>
    <sheet name="一覧" sheetId="3" r:id="rId3"/>
    <sheet name="Config" sheetId="4" r:id="rId4"/>
    <sheet name="Work" sheetId="5" r:id="rId5"/>
  </sheets>
  <definedNames>
    <definedName name="_xlpm.ColumnIndex" hidden="1" xlm="1">#NAME?</definedName>
    <definedName name="_xlpm.criteria_H_lookup_values" hidden="1" xlm="1">#NAME?</definedName>
    <definedName name="_xlpm.criteria_O128" hidden="1" xlm="1">#NAME?</definedName>
    <definedName name="_xlpm.filtered_data" hidden="1" xlm="1">#NAME?</definedName>
    <definedName name="_xlpm.FilteredData" hidden="1" xlm="1">#NAME?</definedName>
    <definedName name="_xlpm.NonEmptyTarget" hidden="1" xlm="1">#NAME?</definedName>
    <definedName name="_xlpm.ResultArray" hidden="1" xlm="1">#NAME?</definedName>
    <definedName name="_xlpm.return_col_index_in_work_header" hidden="1" xlm="1">#NAME?</definedName>
    <definedName name="_xlpm.RowNumbers" hidden="1" xlm="1">#NAME?</definedName>
    <definedName name="_xlpm.target_return_col_header" hidden="1" xlm="1">#NAME?</definedName>
    <definedName name="_xlpm.TargetRange" hidden="1" xlm="1">#NAME?</definedName>
    <definedName name="_xlpm.UniqueValues" hidden="1" xlm="1">#NAME?</definedName>
    <definedName name="_xlpm.work_data_area" hidden="1" xlm="1">#NAME?</definedName>
    <definedName name="_xlpm.work_G_col_data" hidden="1" xlm="1">#NAME?</definedName>
    <definedName name="_xlpm.work_header_area" hidden="1" xlm="1">#NAME?</definedName>
    <definedName name="_xlpm.work_K_col_data" hidden="1" xlm="1">#NAME?</definedName>
    <definedName name="_xlpm.work_return_col_data" hidden="1" xlm="1">#NAME?</definedName>
    <definedName name="_xlpm.work_sheet_data_start_cell" hidden="1" xlm="1">#NAME?</definedName>
    <definedName name="_xlpm.work_sheet_header_start_cell" hidden="1" xlm="1">#NAME?</definedName>
    <definedName name="_xlpm.work_sheet_max_cols" hidden="1" xlm="1">#NAME?</definedName>
    <definedName name="_xlpm.work_sheet_max_rows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5" l="1"/>
  <c r="U98" i="5"/>
  <c r="U97" i="5"/>
  <c r="U95" i="5"/>
  <c r="O114" i="4" a="1"/>
  <c r="O114" i="4" s="1"/>
  <c r="J129" i="4" a="1"/>
  <c r="J129" i="4" s="1"/>
  <c r="A2" i="4" a="1"/>
  <c r="A2" i="4" s="1"/>
  <c r="N778" i="4" a="1"/>
  <c r="N778" i="4" s="1"/>
  <c r="O813" i="4" s="1"/>
  <c r="O557" i="4" a="1"/>
  <c r="O557" i="4" s="1"/>
  <c r="O124" i="4" s="1"/>
  <c r="O66" i="4" a="1"/>
  <c r="O66" i="4" s="1"/>
  <c r="O101" i="4" a="1"/>
  <c r="O101" i="4" s="1"/>
  <c r="O812" i="4" l="1"/>
  <c r="O811" i="4" s="1"/>
  <c r="B1" i="4" a="1"/>
  <c r="B1" i="4" s="1"/>
  <c r="AB44" i="5"/>
  <c r="AB45" i="5" s="1"/>
  <c r="AB46" i="5" s="1"/>
  <c r="U23" i="5"/>
  <c r="U16" i="5"/>
  <c r="U15" i="5"/>
  <c r="U13" i="5"/>
  <c r="B2" i="5" a="1"/>
  <c r="B2" i="5" s="1"/>
  <c r="D1" i="2" l="1" a="1"/>
  <c r="D1" i="2" l="1"/>
  <c r="P557" i="4" a="1"/>
  <c r="P557" i="4" s="1"/>
  <c r="Q557" i="4" s="1" a="1"/>
  <c r="Q557" i="4" s="1"/>
  <c r="O125" i="4" l="1"/>
  <c r="R114" i="4"/>
  <c r="O87" i="4" a="1"/>
  <c r="Y130" i="4" l="1"/>
  <c r="Y131" i="4" s="1"/>
  <c r="Y132" i="4" s="1"/>
  <c r="O87" i="4"/>
  <c r="R89" i="4"/>
  <c r="R90" i="4"/>
  <c r="R87" i="4" l="1"/>
  <c r="B2" i="4" a="1"/>
  <c r="B2" i="4" s="1"/>
  <c r="C2" i="4" s="1" a="1"/>
  <c r="C2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<sst xmlns="http://schemas.openxmlformats.org/spreadsheetml/2006/main" count="2222" uniqueCount="1152">
  <si>
    <t>工程表選択_1</t>
    <rPh sb="0" eb="3">
      <t>コウテイヒョウ</t>
    </rPh>
    <rPh sb="3" eb="5">
      <t>センタク</t>
    </rPh>
    <phoneticPr fontId="1"/>
  </si>
  <si>
    <t>2025.04 月間予定表.xlsx</t>
  </si>
  <si>
    <t>工程表選択_2</t>
    <rPh sb="0" eb="3">
      <t>コウテイヒョウ</t>
    </rPh>
    <rPh sb="3" eb="5">
      <t>センタク</t>
    </rPh>
    <phoneticPr fontId="1"/>
  </si>
  <si>
    <t>2025.05 月間予定表.xlsx</t>
  </si>
  <si>
    <t>工程表選択_3</t>
    <rPh sb="0" eb="3">
      <t>コウテイヒョウ</t>
    </rPh>
    <rPh sb="3" eb="5">
      <t>センタク</t>
    </rPh>
    <phoneticPr fontId="1"/>
  </si>
  <si>
    <t>2025.06 月間予定表.xlsx</t>
  </si>
  <si>
    <t>工程表選択_4</t>
    <rPh sb="0" eb="3">
      <t>コウテイヒョウ</t>
    </rPh>
    <rPh sb="3" eb="5">
      <t>センタク</t>
    </rPh>
    <phoneticPr fontId="1"/>
  </si>
  <si>
    <t>2025.07 月間予定表.xlsx</t>
  </si>
  <si>
    <t>工程表選択_5</t>
    <rPh sb="0" eb="3">
      <t>コウテイヒョウ</t>
    </rPh>
    <rPh sb="3" eb="5">
      <t>センタク</t>
    </rPh>
    <phoneticPr fontId="1"/>
  </si>
  <si>
    <t>2025.08 月間予定表.xlsx</t>
  </si>
  <si>
    <t>工程表選択_6</t>
    <rPh sb="0" eb="3">
      <t>コウテイヒョウ</t>
    </rPh>
    <rPh sb="3" eb="5">
      <t>センタク</t>
    </rPh>
    <phoneticPr fontId="1"/>
  </si>
  <si>
    <t>2025.09 月間予定表.xlsx</t>
  </si>
  <si>
    <t>工程表選択_7</t>
    <rPh sb="0" eb="3">
      <t>コウテイヒョウ</t>
    </rPh>
    <rPh sb="3" eb="5">
      <t>センタク</t>
    </rPh>
    <phoneticPr fontId="1"/>
  </si>
  <si>
    <t>2025.10 月間予定表.xlsx</t>
  </si>
  <si>
    <t>工程表選択_8</t>
    <rPh sb="0" eb="3">
      <t>コウテイヒョウ</t>
    </rPh>
    <rPh sb="3" eb="5">
      <t>センタク</t>
    </rPh>
    <phoneticPr fontId="1"/>
  </si>
  <si>
    <t>2025.11 月間予定表.xlsx</t>
  </si>
  <si>
    <t>工程表選択_9</t>
    <rPh sb="0" eb="3">
      <t>コウテイヒョウ</t>
    </rPh>
    <rPh sb="3" eb="5">
      <t>センタク</t>
    </rPh>
    <phoneticPr fontId="1"/>
  </si>
  <si>
    <t>2025.12 月間予定表.xlsx</t>
  </si>
  <si>
    <t>工程表選択_10</t>
    <rPh sb="0" eb="3">
      <t>コウテイヒョウ</t>
    </rPh>
    <rPh sb="3" eb="5">
      <t>センタク</t>
    </rPh>
    <phoneticPr fontId="1"/>
  </si>
  <si>
    <t>2026.01 月間予定表.xlsx</t>
  </si>
  <si>
    <t>工程表選択_11</t>
    <rPh sb="0" eb="3">
      <t>コウテイヒョウ</t>
    </rPh>
    <rPh sb="3" eb="5">
      <t>センタク</t>
    </rPh>
    <phoneticPr fontId="1"/>
  </si>
  <si>
    <t>2026.02 月間予定表.xlsx</t>
  </si>
  <si>
    <t>工程表選択_12</t>
    <rPh sb="0" eb="3">
      <t>コウテイヒョウ</t>
    </rPh>
    <rPh sb="3" eb="5">
      <t>センタク</t>
    </rPh>
    <phoneticPr fontId="1"/>
  </si>
  <si>
    <t>2026.03 月間予定表.xlsx</t>
  </si>
  <si>
    <t>工程表選択_13</t>
    <rPh sb="0" eb="3">
      <t>コウテイヒョウ</t>
    </rPh>
    <rPh sb="3" eb="5">
      <t>センタク</t>
    </rPh>
    <phoneticPr fontId="1"/>
  </si>
  <si>
    <t>2026.04 月間予定表.xlsx</t>
  </si>
  <si>
    <t>工程表選択_14</t>
    <rPh sb="0" eb="3">
      <t>コウテイヒョウ</t>
    </rPh>
    <rPh sb="3" eb="5">
      <t>センタク</t>
    </rPh>
    <phoneticPr fontId="1"/>
  </si>
  <si>
    <t>工程表選択_15</t>
    <rPh sb="0" eb="3">
      <t>コウテイヒョウ</t>
    </rPh>
    <rPh sb="3" eb="5">
      <t>センタク</t>
    </rPh>
    <phoneticPr fontId="1"/>
  </si>
  <si>
    <t>工程表選択_16</t>
    <rPh sb="0" eb="3">
      <t>コウテイヒョウ</t>
    </rPh>
    <rPh sb="3" eb="5">
      <t>センタク</t>
    </rPh>
    <phoneticPr fontId="1"/>
  </si>
  <si>
    <t>工程表選択_17</t>
    <rPh sb="0" eb="3">
      <t>コウテイヒョウ</t>
    </rPh>
    <rPh sb="3" eb="5">
      <t>センタク</t>
    </rPh>
    <phoneticPr fontId="1"/>
  </si>
  <si>
    <t>工程表選択_18</t>
    <rPh sb="0" eb="3">
      <t>コウテイヒョウ</t>
    </rPh>
    <rPh sb="3" eb="5">
      <t>センタク</t>
    </rPh>
    <phoneticPr fontId="1"/>
  </si>
  <si>
    <t>工程表選択_19</t>
    <rPh sb="0" eb="3">
      <t>コウテイヒョウ</t>
    </rPh>
    <rPh sb="3" eb="5">
      <t>センタク</t>
    </rPh>
    <phoneticPr fontId="1"/>
  </si>
  <si>
    <t>工程表選択_20</t>
    <rPh sb="0" eb="3">
      <t>コウテイヒョウ</t>
    </rPh>
    <rPh sb="3" eb="5">
      <t>センタク</t>
    </rPh>
    <phoneticPr fontId="1"/>
  </si>
  <si>
    <t>工程表選択_21</t>
    <rPh sb="0" eb="3">
      <t>コウテイヒョウ</t>
    </rPh>
    <rPh sb="3" eb="5">
      <t>センタク</t>
    </rPh>
    <phoneticPr fontId="1"/>
  </si>
  <si>
    <t>工程表選択_22</t>
    <rPh sb="0" eb="3">
      <t>コウテイヒョウ</t>
    </rPh>
    <rPh sb="3" eb="5">
      <t>センタク</t>
    </rPh>
    <phoneticPr fontId="1"/>
  </si>
  <si>
    <t>工程表選択_23</t>
    <rPh sb="0" eb="3">
      <t>コウテイヒョウ</t>
    </rPh>
    <rPh sb="3" eb="5">
      <t>センタク</t>
    </rPh>
    <phoneticPr fontId="1"/>
  </si>
  <si>
    <t>工程表選択_24</t>
    <rPh sb="0" eb="3">
      <t>コウテイヒョウ</t>
    </rPh>
    <rPh sb="3" eb="5">
      <t>センタク</t>
    </rPh>
    <phoneticPr fontId="1"/>
  </si>
  <si>
    <t>工程表選択_25</t>
    <rPh sb="0" eb="3">
      <t>コウテイヒョウ</t>
    </rPh>
    <rPh sb="3" eb="5">
      <t>センタク</t>
    </rPh>
    <phoneticPr fontId="1"/>
  </si>
  <si>
    <t>工程表選択_26</t>
    <rPh sb="0" eb="3">
      <t>コウテイヒョウ</t>
    </rPh>
    <rPh sb="3" eb="5">
      <t>センタク</t>
    </rPh>
    <phoneticPr fontId="1"/>
  </si>
  <si>
    <t>工程表選択_27</t>
    <rPh sb="0" eb="3">
      <t>コウテイヒョウ</t>
    </rPh>
    <rPh sb="3" eb="5">
      <t>センタク</t>
    </rPh>
    <phoneticPr fontId="1"/>
  </si>
  <si>
    <t>工程表選択_28</t>
    <rPh sb="0" eb="3">
      <t>コウテイヒョウ</t>
    </rPh>
    <rPh sb="3" eb="5">
      <t>センタク</t>
    </rPh>
    <phoneticPr fontId="1"/>
  </si>
  <si>
    <t>工程表選択_29</t>
    <rPh sb="0" eb="3">
      <t>コウテイヒョウ</t>
    </rPh>
    <rPh sb="3" eb="5">
      <t>センタク</t>
    </rPh>
    <phoneticPr fontId="1"/>
  </si>
  <si>
    <t>工程表選択_30</t>
    <rPh sb="0" eb="3">
      <t>コウテイヒョウ</t>
    </rPh>
    <rPh sb="3" eb="5">
      <t>センタク</t>
    </rPh>
    <phoneticPr fontId="1"/>
  </si>
  <si>
    <t>工程表選択_31</t>
    <rPh sb="0" eb="3">
      <t>コウテイヒョウ</t>
    </rPh>
    <rPh sb="3" eb="5">
      <t>センタク</t>
    </rPh>
    <phoneticPr fontId="1"/>
  </si>
  <si>
    <t>工程表選択_32</t>
    <rPh sb="0" eb="3">
      <t>コウテイヒョウ</t>
    </rPh>
    <rPh sb="3" eb="5">
      <t>センタク</t>
    </rPh>
    <phoneticPr fontId="1"/>
  </si>
  <si>
    <t>工程表選択_33</t>
    <rPh sb="0" eb="3">
      <t>コウテイヒョウ</t>
    </rPh>
    <rPh sb="3" eb="5">
      <t>センタク</t>
    </rPh>
    <phoneticPr fontId="1"/>
  </si>
  <si>
    <t>工程表選択_34</t>
    <rPh sb="0" eb="3">
      <t>コウテイヒョウ</t>
    </rPh>
    <rPh sb="3" eb="5">
      <t>センタク</t>
    </rPh>
    <phoneticPr fontId="1"/>
  </si>
  <si>
    <t>工程表選択_35</t>
    <rPh sb="0" eb="3">
      <t>コウテイヒョウ</t>
    </rPh>
    <rPh sb="3" eb="5">
      <t>センタク</t>
    </rPh>
    <phoneticPr fontId="1"/>
  </si>
  <si>
    <t>工程表選択_36</t>
    <rPh sb="0" eb="3">
      <t>コウテイヒョウ</t>
    </rPh>
    <rPh sb="3" eb="5">
      <t>センタク</t>
    </rPh>
    <phoneticPr fontId="1"/>
  </si>
  <si>
    <t>工程表選択_37</t>
    <rPh sb="0" eb="3">
      <t>コウテイヒョウ</t>
    </rPh>
    <rPh sb="3" eb="5">
      <t>センタク</t>
    </rPh>
    <phoneticPr fontId="1"/>
  </si>
  <si>
    <t>工程表選択_38</t>
    <rPh sb="0" eb="3">
      <t>コウテイヒョウ</t>
    </rPh>
    <rPh sb="3" eb="5">
      <t>センタク</t>
    </rPh>
    <phoneticPr fontId="1"/>
  </si>
  <si>
    <t>工程表選択_39</t>
    <rPh sb="0" eb="3">
      <t>コウテイヒョウ</t>
    </rPh>
    <rPh sb="3" eb="5">
      <t>センタク</t>
    </rPh>
    <phoneticPr fontId="1"/>
  </si>
  <si>
    <t>工程表選択_40</t>
    <rPh sb="0" eb="3">
      <t>コウテイヒョウ</t>
    </rPh>
    <rPh sb="3" eb="5">
      <t>センタク</t>
    </rPh>
    <phoneticPr fontId="1"/>
  </si>
  <si>
    <t>工程表選択_41</t>
    <rPh sb="0" eb="3">
      <t>コウテイヒョウ</t>
    </rPh>
    <rPh sb="3" eb="5">
      <t>センタク</t>
    </rPh>
    <phoneticPr fontId="1"/>
  </si>
  <si>
    <t>工程表選択_42</t>
    <rPh sb="0" eb="3">
      <t>コウテイヒョウ</t>
    </rPh>
    <rPh sb="3" eb="5">
      <t>センタク</t>
    </rPh>
    <phoneticPr fontId="1"/>
  </si>
  <si>
    <t>工程表選択_43</t>
    <rPh sb="0" eb="3">
      <t>コウテイヒョウ</t>
    </rPh>
    <rPh sb="3" eb="5">
      <t>センタク</t>
    </rPh>
    <phoneticPr fontId="1"/>
  </si>
  <si>
    <t>工程表選択_44</t>
    <rPh sb="0" eb="3">
      <t>コウテイヒョウ</t>
    </rPh>
    <rPh sb="3" eb="5">
      <t>センタク</t>
    </rPh>
    <phoneticPr fontId="1"/>
  </si>
  <si>
    <t>工程表選択_45</t>
    <rPh sb="0" eb="3">
      <t>コウテイヒョウ</t>
    </rPh>
    <rPh sb="3" eb="5">
      <t>センタク</t>
    </rPh>
    <phoneticPr fontId="1"/>
  </si>
  <si>
    <t>工程表選択_46</t>
    <rPh sb="0" eb="3">
      <t>コウテイヒョウ</t>
    </rPh>
    <rPh sb="3" eb="5">
      <t>センタク</t>
    </rPh>
    <phoneticPr fontId="1"/>
  </si>
  <si>
    <t>工程表選択_47</t>
    <rPh sb="0" eb="3">
      <t>コウテイヒョウ</t>
    </rPh>
    <rPh sb="3" eb="5">
      <t>センタク</t>
    </rPh>
    <phoneticPr fontId="1"/>
  </si>
  <si>
    <t>工程表選択_48</t>
    <rPh sb="0" eb="3">
      <t>コウテイヒョウ</t>
    </rPh>
    <rPh sb="3" eb="5">
      <t>センタク</t>
    </rPh>
    <phoneticPr fontId="1"/>
  </si>
  <si>
    <t>工程表選択_49</t>
    <rPh sb="0" eb="3">
      <t>コウテイヒョウ</t>
    </rPh>
    <rPh sb="3" eb="5">
      <t>センタク</t>
    </rPh>
    <phoneticPr fontId="1"/>
  </si>
  <si>
    <t>工程表選択_50</t>
    <rPh sb="0" eb="3">
      <t>コウテイヒョウ</t>
    </rPh>
    <rPh sb="3" eb="5">
      <t>センタク</t>
    </rPh>
    <phoneticPr fontId="1"/>
  </si>
  <si>
    <t>工程表選択_51</t>
    <rPh sb="0" eb="3">
      <t>コウテイヒョウ</t>
    </rPh>
    <rPh sb="3" eb="5">
      <t>センタク</t>
    </rPh>
    <phoneticPr fontId="1"/>
  </si>
  <si>
    <t>工程表選択_52</t>
    <rPh sb="0" eb="3">
      <t>コウテイヒョウ</t>
    </rPh>
    <rPh sb="3" eb="5">
      <t>センタク</t>
    </rPh>
    <phoneticPr fontId="1"/>
  </si>
  <si>
    <t>工程表選択_53</t>
    <rPh sb="0" eb="3">
      <t>コウテイヒョウ</t>
    </rPh>
    <rPh sb="3" eb="5">
      <t>センタク</t>
    </rPh>
    <phoneticPr fontId="1"/>
  </si>
  <si>
    <t>工程表選択_54</t>
    <rPh sb="0" eb="3">
      <t>コウテイヒョウ</t>
    </rPh>
    <rPh sb="3" eb="5">
      <t>センタク</t>
    </rPh>
    <phoneticPr fontId="1"/>
  </si>
  <si>
    <t>工程表選択_55</t>
    <rPh sb="0" eb="3">
      <t>コウテイヒョウ</t>
    </rPh>
    <rPh sb="3" eb="5">
      <t>センタク</t>
    </rPh>
    <phoneticPr fontId="1"/>
  </si>
  <si>
    <t>工程表選択_56</t>
    <rPh sb="0" eb="3">
      <t>コウテイヒョウ</t>
    </rPh>
    <rPh sb="3" eb="5">
      <t>センタク</t>
    </rPh>
    <phoneticPr fontId="1"/>
  </si>
  <si>
    <t>工程表選択_57</t>
    <rPh sb="0" eb="3">
      <t>コウテイヒョウ</t>
    </rPh>
    <rPh sb="3" eb="5">
      <t>センタク</t>
    </rPh>
    <phoneticPr fontId="1"/>
  </si>
  <si>
    <t>工程表選択_58</t>
    <rPh sb="0" eb="3">
      <t>コウテイヒョウ</t>
    </rPh>
    <rPh sb="3" eb="5">
      <t>センタク</t>
    </rPh>
    <phoneticPr fontId="1"/>
  </si>
  <si>
    <t>工程表選択_59</t>
    <rPh sb="0" eb="3">
      <t>コウテイヒョウ</t>
    </rPh>
    <rPh sb="3" eb="5">
      <t>センタク</t>
    </rPh>
    <phoneticPr fontId="1"/>
  </si>
  <si>
    <t>工程表選択_60</t>
    <rPh sb="0" eb="3">
      <t>コウテイヒョウ</t>
    </rPh>
    <rPh sb="3" eb="5">
      <t>センタク</t>
    </rPh>
    <phoneticPr fontId="1"/>
  </si>
  <si>
    <t>工程表選択_61</t>
    <rPh sb="0" eb="3">
      <t>コウテイヒョウ</t>
    </rPh>
    <rPh sb="3" eb="5">
      <t>センタク</t>
    </rPh>
    <phoneticPr fontId="1"/>
  </si>
  <si>
    <t>工程表選択_62</t>
    <rPh sb="0" eb="3">
      <t>コウテイヒョウ</t>
    </rPh>
    <rPh sb="3" eb="5">
      <t>センタク</t>
    </rPh>
    <phoneticPr fontId="1"/>
  </si>
  <si>
    <t>工程表選択_63</t>
    <rPh sb="0" eb="3">
      <t>コウテイヒョウ</t>
    </rPh>
    <rPh sb="3" eb="5">
      <t>センタク</t>
    </rPh>
    <phoneticPr fontId="1"/>
  </si>
  <si>
    <t>工程表選択_64</t>
    <rPh sb="0" eb="3">
      <t>コウテイヒョウ</t>
    </rPh>
    <rPh sb="3" eb="5">
      <t>センタク</t>
    </rPh>
    <phoneticPr fontId="1"/>
  </si>
  <si>
    <t>工程表選択_65</t>
    <rPh sb="0" eb="3">
      <t>コウテイヒョウ</t>
    </rPh>
    <rPh sb="3" eb="5">
      <t>センタク</t>
    </rPh>
    <phoneticPr fontId="1"/>
  </si>
  <si>
    <t>工程表選択_66</t>
    <rPh sb="0" eb="3">
      <t>コウテイヒョウ</t>
    </rPh>
    <rPh sb="3" eb="5">
      <t>センタク</t>
    </rPh>
    <phoneticPr fontId="1"/>
  </si>
  <si>
    <t>工程表選択_67</t>
    <rPh sb="0" eb="3">
      <t>コウテイヒョウ</t>
    </rPh>
    <rPh sb="3" eb="5">
      <t>センタク</t>
    </rPh>
    <phoneticPr fontId="1"/>
  </si>
  <si>
    <t>工程表選択_68</t>
    <rPh sb="0" eb="3">
      <t>コウテイヒョウ</t>
    </rPh>
    <rPh sb="3" eb="5">
      <t>センタク</t>
    </rPh>
    <phoneticPr fontId="1"/>
  </si>
  <si>
    <t>工程表選択_69</t>
    <rPh sb="0" eb="3">
      <t>コウテイヒョウ</t>
    </rPh>
    <rPh sb="3" eb="5">
      <t>センタク</t>
    </rPh>
    <phoneticPr fontId="1"/>
  </si>
  <si>
    <t>工程表選択_70</t>
    <rPh sb="0" eb="3">
      <t>コウテイヒョウ</t>
    </rPh>
    <rPh sb="3" eb="5">
      <t>センタク</t>
    </rPh>
    <phoneticPr fontId="1"/>
  </si>
  <si>
    <t>工程表選択_71</t>
    <rPh sb="0" eb="3">
      <t>コウテイヒョウ</t>
    </rPh>
    <rPh sb="3" eb="5">
      <t>センタク</t>
    </rPh>
    <phoneticPr fontId="1"/>
  </si>
  <si>
    <t>工程表選択_72</t>
    <rPh sb="0" eb="3">
      <t>コウテイヒョウ</t>
    </rPh>
    <rPh sb="3" eb="5">
      <t>センタク</t>
    </rPh>
    <phoneticPr fontId="1"/>
  </si>
  <si>
    <t>工程表選択_73</t>
    <rPh sb="0" eb="3">
      <t>コウテイヒョウ</t>
    </rPh>
    <rPh sb="3" eb="5">
      <t>センタク</t>
    </rPh>
    <phoneticPr fontId="1"/>
  </si>
  <si>
    <t>工程表選択_74</t>
    <rPh sb="0" eb="3">
      <t>コウテイヒョウ</t>
    </rPh>
    <rPh sb="3" eb="5">
      <t>センタク</t>
    </rPh>
    <phoneticPr fontId="1"/>
  </si>
  <si>
    <t>工程表選択_75</t>
    <rPh sb="0" eb="3">
      <t>コウテイヒョウ</t>
    </rPh>
    <rPh sb="3" eb="5">
      <t>センタク</t>
    </rPh>
    <phoneticPr fontId="1"/>
  </si>
  <si>
    <t>工程表選択_76</t>
    <rPh sb="0" eb="3">
      <t>コウテイヒョウ</t>
    </rPh>
    <rPh sb="3" eb="5">
      <t>センタク</t>
    </rPh>
    <phoneticPr fontId="1"/>
  </si>
  <si>
    <t>工程表選択_77</t>
    <rPh sb="0" eb="3">
      <t>コウテイヒョウ</t>
    </rPh>
    <rPh sb="3" eb="5">
      <t>センタク</t>
    </rPh>
    <phoneticPr fontId="1"/>
  </si>
  <si>
    <t>工程表選択_78</t>
    <rPh sb="0" eb="3">
      <t>コウテイヒョウ</t>
    </rPh>
    <rPh sb="3" eb="5">
      <t>センタク</t>
    </rPh>
    <phoneticPr fontId="1"/>
  </si>
  <si>
    <t>工程表選択_79</t>
    <rPh sb="0" eb="3">
      <t>コウテイヒョウ</t>
    </rPh>
    <rPh sb="3" eb="5">
      <t>センタク</t>
    </rPh>
    <phoneticPr fontId="1"/>
  </si>
  <si>
    <t>工程表選択_80</t>
    <rPh sb="0" eb="3">
      <t>コウテイヒョウ</t>
    </rPh>
    <rPh sb="3" eb="5">
      <t>センタク</t>
    </rPh>
    <phoneticPr fontId="1"/>
  </si>
  <si>
    <t>工程表選択_81</t>
    <rPh sb="0" eb="3">
      <t>コウテイヒョウ</t>
    </rPh>
    <rPh sb="3" eb="5">
      <t>センタク</t>
    </rPh>
    <phoneticPr fontId="1"/>
  </si>
  <si>
    <t>工程表選択_82</t>
    <rPh sb="0" eb="3">
      <t>コウテイヒョウ</t>
    </rPh>
    <rPh sb="3" eb="5">
      <t>センタク</t>
    </rPh>
    <phoneticPr fontId="1"/>
  </si>
  <si>
    <t>工程表選択_83</t>
    <rPh sb="0" eb="3">
      <t>コウテイヒョウ</t>
    </rPh>
    <rPh sb="3" eb="5">
      <t>センタク</t>
    </rPh>
    <phoneticPr fontId="1"/>
  </si>
  <si>
    <t>工程表選択_84</t>
    <rPh sb="0" eb="3">
      <t>コウテイヒョウ</t>
    </rPh>
    <rPh sb="3" eb="5">
      <t>センタク</t>
    </rPh>
    <phoneticPr fontId="1"/>
  </si>
  <si>
    <t>工程表選択_85</t>
    <rPh sb="0" eb="3">
      <t>コウテイヒョウ</t>
    </rPh>
    <rPh sb="3" eb="5">
      <t>センタク</t>
    </rPh>
    <phoneticPr fontId="1"/>
  </si>
  <si>
    <t>工程表選択_86</t>
    <rPh sb="0" eb="3">
      <t>コウテイヒョウ</t>
    </rPh>
    <rPh sb="3" eb="5">
      <t>センタク</t>
    </rPh>
    <phoneticPr fontId="1"/>
  </si>
  <si>
    <t>工程表選択_87</t>
    <rPh sb="0" eb="3">
      <t>コウテイヒョウ</t>
    </rPh>
    <rPh sb="3" eb="5">
      <t>センタク</t>
    </rPh>
    <phoneticPr fontId="1"/>
  </si>
  <si>
    <t>工程表選択_88</t>
    <rPh sb="0" eb="3">
      <t>コウテイヒョウ</t>
    </rPh>
    <rPh sb="3" eb="5">
      <t>センタク</t>
    </rPh>
    <phoneticPr fontId="1"/>
  </si>
  <si>
    <t>工程表選択_89</t>
    <rPh sb="0" eb="3">
      <t>コウテイヒョウ</t>
    </rPh>
    <rPh sb="3" eb="5">
      <t>センタク</t>
    </rPh>
    <phoneticPr fontId="1"/>
  </si>
  <si>
    <t>工程表選択_90</t>
    <rPh sb="0" eb="3">
      <t>コウテイヒョウ</t>
    </rPh>
    <rPh sb="3" eb="5">
      <t>センタク</t>
    </rPh>
    <phoneticPr fontId="1"/>
  </si>
  <si>
    <t>工程表選択_91</t>
    <rPh sb="0" eb="3">
      <t>コウテイヒョウ</t>
    </rPh>
    <rPh sb="3" eb="5">
      <t>センタク</t>
    </rPh>
    <phoneticPr fontId="1"/>
  </si>
  <si>
    <t>工程表選択_92</t>
    <rPh sb="0" eb="3">
      <t>コウテイヒョウ</t>
    </rPh>
    <rPh sb="3" eb="5">
      <t>センタク</t>
    </rPh>
    <phoneticPr fontId="1"/>
  </si>
  <si>
    <t>工程表選択_93</t>
    <rPh sb="0" eb="3">
      <t>コウテイヒョウ</t>
    </rPh>
    <rPh sb="3" eb="5">
      <t>センタク</t>
    </rPh>
    <phoneticPr fontId="1"/>
  </si>
  <si>
    <t>工程表選択_94</t>
    <rPh sb="0" eb="3">
      <t>コウテイヒョウ</t>
    </rPh>
    <rPh sb="3" eb="5">
      <t>センタク</t>
    </rPh>
    <phoneticPr fontId="1"/>
  </si>
  <si>
    <t>工程表選択_95</t>
    <rPh sb="0" eb="3">
      <t>コウテイヒョウ</t>
    </rPh>
    <rPh sb="3" eb="5">
      <t>センタク</t>
    </rPh>
    <phoneticPr fontId="1"/>
  </si>
  <si>
    <t>工程表選択_96</t>
    <rPh sb="0" eb="3">
      <t>コウテイヒョウ</t>
    </rPh>
    <rPh sb="3" eb="5">
      <t>センタク</t>
    </rPh>
    <phoneticPr fontId="1"/>
  </si>
  <si>
    <t>工程表選択_97</t>
    <rPh sb="0" eb="3">
      <t>コウテイヒョウ</t>
    </rPh>
    <rPh sb="3" eb="5">
      <t>センタク</t>
    </rPh>
    <phoneticPr fontId="1"/>
  </si>
  <si>
    <t>工程表選択_98</t>
    <rPh sb="0" eb="3">
      <t>コウテイヒョウ</t>
    </rPh>
    <rPh sb="3" eb="5">
      <t>センタク</t>
    </rPh>
    <phoneticPr fontId="1"/>
  </si>
  <si>
    <t>工程表選択_99</t>
    <rPh sb="0" eb="3">
      <t>コウテイヒョウ</t>
    </rPh>
    <rPh sb="3" eb="5">
      <t>センタク</t>
    </rPh>
    <phoneticPr fontId="1"/>
  </si>
  <si>
    <t>工程表選択_100</t>
    <rPh sb="0" eb="3">
      <t>コウテイヒョウ</t>
    </rPh>
    <rPh sb="3" eb="5">
      <t>センタク</t>
    </rPh>
    <phoneticPr fontId="1"/>
  </si>
  <si>
    <t>作業員</t>
    <rPh sb="0" eb="3">
      <t>サギョウイン</t>
    </rPh>
    <phoneticPr fontId="1"/>
  </si>
  <si>
    <t>山　内</t>
    <rPh sb="0" eb="1">
      <t>ヤマ</t>
    </rPh>
    <rPh sb="2" eb="3">
      <t>ウチ</t>
    </rPh>
    <phoneticPr fontId="2"/>
  </si>
  <si>
    <t>内　方</t>
    <rPh sb="0" eb="1">
      <t>ウチ</t>
    </rPh>
    <rPh sb="2" eb="3">
      <t>カタ</t>
    </rPh>
    <phoneticPr fontId="2"/>
  </si>
  <si>
    <t>平　澤</t>
    <rPh sb="0" eb="1">
      <t>ヒラ</t>
    </rPh>
    <rPh sb="2" eb="3">
      <t>サワ</t>
    </rPh>
    <phoneticPr fontId="2"/>
  </si>
  <si>
    <t>船　水</t>
    <rPh sb="0" eb="1">
      <t>フネ</t>
    </rPh>
    <rPh sb="2" eb="3">
      <t>ミズ</t>
    </rPh>
    <phoneticPr fontId="2"/>
  </si>
  <si>
    <t>菅　野</t>
    <rPh sb="0" eb="1">
      <t>スガ</t>
    </rPh>
    <rPh sb="2" eb="3">
      <t>ノ</t>
    </rPh>
    <phoneticPr fontId="2"/>
  </si>
  <si>
    <t>金　山</t>
    <rPh sb="0" eb="1">
      <t>キン</t>
    </rPh>
    <rPh sb="2" eb="3">
      <t>ヤマ</t>
    </rPh>
    <phoneticPr fontId="2"/>
  </si>
  <si>
    <t>荒　木</t>
    <rPh sb="0" eb="1">
      <t>アラ</t>
    </rPh>
    <rPh sb="2" eb="3">
      <t>キ</t>
    </rPh>
    <phoneticPr fontId="2"/>
  </si>
  <si>
    <t>今　井</t>
    <rPh sb="0" eb="1">
      <t>イマ</t>
    </rPh>
    <rPh sb="2" eb="3">
      <t>イ</t>
    </rPh>
    <phoneticPr fontId="2"/>
  </si>
  <si>
    <t>平　岡</t>
    <rPh sb="0" eb="1">
      <t>ヒラ</t>
    </rPh>
    <rPh sb="2" eb="3">
      <t>オカ</t>
    </rPh>
    <phoneticPr fontId="2"/>
  </si>
  <si>
    <t>古　澤</t>
    <rPh sb="0" eb="1">
      <t>フル</t>
    </rPh>
    <rPh sb="2" eb="3">
      <t>サワ</t>
    </rPh>
    <phoneticPr fontId="2"/>
  </si>
  <si>
    <t>髙比良</t>
    <rPh sb="0" eb="3">
      <t>タカヒラ</t>
    </rPh>
    <phoneticPr fontId="2"/>
  </si>
  <si>
    <t>平　松</t>
    <rPh sb="0" eb="1">
      <t>ヒラ</t>
    </rPh>
    <rPh sb="2" eb="3">
      <t>マツ</t>
    </rPh>
    <phoneticPr fontId="2"/>
  </si>
  <si>
    <t>中　嶋</t>
    <rPh sb="0" eb="1">
      <t>ナカ</t>
    </rPh>
    <rPh sb="2" eb="3">
      <t>シマ</t>
    </rPh>
    <phoneticPr fontId="2"/>
  </si>
  <si>
    <t>藤　本</t>
    <rPh sb="0" eb="1">
      <t>フジ</t>
    </rPh>
    <rPh sb="2" eb="3">
      <t>ホン</t>
    </rPh>
    <phoneticPr fontId="2"/>
  </si>
  <si>
    <t>幸　岡</t>
    <rPh sb="0" eb="1">
      <t>ユキ</t>
    </rPh>
    <rPh sb="2" eb="3">
      <t>オカ</t>
    </rPh>
    <phoneticPr fontId="2"/>
  </si>
  <si>
    <t>宮　地</t>
    <rPh sb="0" eb="1">
      <t>ミヤ</t>
    </rPh>
    <rPh sb="2" eb="3">
      <t>チ</t>
    </rPh>
    <phoneticPr fontId="2"/>
  </si>
  <si>
    <t>西　山</t>
    <rPh sb="0" eb="1">
      <t>ニシ</t>
    </rPh>
    <rPh sb="2" eb="3">
      <t>ヤマ</t>
    </rPh>
    <phoneticPr fontId="2"/>
  </si>
  <si>
    <t>河　口</t>
    <rPh sb="0" eb="1">
      <t>カワ</t>
    </rPh>
    <rPh sb="2" eb="3">
      <t>クチ</t>
    </rPh>
    <phoneticPr fontId="2"/>
  </si>
  <si>
    <t>三　谷</t>
    <rPh sb="0" eb="1">
      <t>サン</t>
    </rPh>
    <rPh sb="2" eb="3">
      <t>タニ</t>
    </rPh>
    <phoneticPr fontId="2"/>
  </si>
  <si>
    <t>和　本</t>
    <rPh sb="0" eb="1">
      <t>ワ</t>
    </rPh>
    <rPh sb="2" eb="3">
      <t>ホン</t>
    </rPh>
    <phoneticPr fontId="2"/>
  </si>
  <si>
    <t>野　木</t>
    <rPh sb="0" eb="1">
      <t>ノ</t>
    </rPh>
    <rPh sb="2" eb="3">
      <t>キ</t>
    </rPh>
    <phoneticPr fontId="2"/>
  </si>
  <si>
    <t>東　條</t>
    <rPh sb="0" eb="1">
      <t>ヒガシ</t>
    </rPh>
    <rPh sb="2" eb="3">
      <t>ジョウ</t>
    </rPh>
    <phoneticPr fontId="2"/>
  </si>
  <si>
    <t>木　下</t>
    <rPh sb="0" eb="1">
      <t>キ</t>
    </rPh>
    <rPh sb="2" eb="3">
      <t>シタ</t>
    </rPh>
    <phoneticPr fontId="2"/>
  </si>
  <si>
    <t>前　島</t>
    <rPh sb="0" eb="1">
      <t>マエ</t>
    </rPh>
    <rPh sb="2" eb="3">
      <t>シマ</t>
    </rPh>
    <phoneticPr fontId="2"/>
  </si>
  <si>
    <t>小　川</t>
    <rPh sb="0" eb="1">
      <t>ショウ</t>
    </rPh>
    <rPh sb="2" eb="3">
      <t>カワ</t>
    </rPh>
    <phoneticPr fontId="2"/>
  </si>
  <si>
    <t>河口消防</t>
    <rPh sb="0" eb="2">
      <t>カワグチ</t>
    </rPh>
    <rPh sb="2" eb="4">
      <t>ショウボウ</t>
    </rPh>
    <phoneticPr fontId="2"/>
  </si>
  <si>
    <t>ダイシン</t>
  </si>
  <si>
    <t>ヤマト・新生</t>
    <rPh sb="4" eb="6">
      <t>シンセイ</t>
    </rPh>
    <phoneticPr fontId="2"/>
  </si>
  <si>
    <t>河口２</t>
    <rPh sb="0" eb="2">
      <t>カワグチ</t>
    </rPh>
    <phoneticPr fontId="2"/>
  </si>
  <si>
    <t>河口３</t>
    <rPh sb="0" eb="2">
      <t>カワグチ</t>
    </rPh>
    <phoneticPr fontId="2"/>
  </si>
  <si>
    <t>河口４</t>
    <rPh sb="0" eb="2">
      <t>カワグチ</t>
    </rPh>
    <phoneticPr fontId="2"/>
  </si>
  <si>
    <t>河口５</t>
    <rPh sb="0" eb="2">
      <t>カワグチ</t>
    </rPh>
    <phoneticPr fontId="2"/>
  </si>
  <si>
    <t>河口６</t>
    <rPh sb="0" eb="2">
      <t>カワグチ</t>
    </rPh>
    <phoneticPr fontId="2"/>
  </si>
  <si>
    <t>河口７</t>
    <rPh sb="0" eb="2">
      <t>カワグチ</t>
    </rPh>
    <phoneticPr fontId="2"/>
  </si>
  <si>
    <t>日付</t>
  </si>
  <si>
    <t>管内1</t>
  </si>
  <si>
    <t>管内2</t>
  </si>
  <si>
    <t>工番</t>
  </si>
  <si>
    <t>変電所</t>
  </si>
  <si>
    <t>作業名1</t>
  </si>
  <si>
    <t>作業名2</t>
  </si>
  <si>
    <t>担当</t>
  </si>
  <si>
    <t>分類</t>
  </si>
  <si>
    <t>人数</t>
  </si>
  <si>
    <t>作業者1</t>
  </si>
  <si>
    <t>作業者2</t>
  </si>
  <si>
    <t>作業者3</t>
  </si>
  <si>
    <t>作業者4</t>
  </si>
  <si>
    <t>作業者5</t>
  </si>
  <si>
    <t>作業者6</t>
  </si>
  <si>
    <t>作業者7</t>
  </si>
  <si>
    <t>表示</t>
    <rPh sb="0" eb="2">
      <t>ヒョウジ</t>
    </rPh>
    <phoneticPr fontId="1"/>
  </si>
  <si>
    <t>No</t>
    <phoneticPr fontId="1"/>
  </si>
  <si>
    <t>エクセルファイル名</t>
    <rPh sb="8" eb="9">
      <t>メイ</t>
    </rPh>
    <phoneticPr fontId="2"/>
  </si>
  <si>
    <t>パス</t>
    <phoneticPr fontId="2"/>
  </si>
  <si>
    <t>ファイルの工程パターン</t>
    <rPh sb="5" eb="7">
      <t>コウテイ</t>
    </rPh>
    <phoneticPr fontId="1"/>
  </si>
  <si>
    <t>シートの工程パターン</t>
    <rPh sb="4" eb="6">
      <t>コウテイ</t>
    </rPh>
    <phoneticPr fontId="1"/>
  </si>
  <si>
    <t>回数</t>
    <rPh sb="0" eb="2">
      <t>カイスウ</t>
    </rPh>
    <phoneticPr fontId="1"/>
  </si>
  <si>
    <t>シート名_1</t>
    <rPh sb="3" eb="4">
      <t>メイ</t>
    </rPh>
    <phoneticPr fontId="1"/>
  </si>
  <si>
    <t>シート名_2</t>
    <rPh sb="3" eb="4">
      <t>メイ</t>
    </rPh>
    <phoneticPr fontId="1"/>
  </si>
  <si>
    <t>シート名_3</t>
    <rPh sb="3" eb="4">
      <t>メイ</t>
    </rPh>
    <phoneticPr fontId="1"/>
  </si>
  <si>
    <t>シート名_4</t>
    <rPh sb="3" eb="4">
      <t>メイ</t>
    </rPh>
    <phoneticPr fontId="1"/>
  </si>
  <si>
    <t>シート名_5</t>
    <rPh sb="3" eb="4">
      <t>メイ</t>
    </rPh>
    <phoneticPr fontId="1"/>
  </si>
  <si>
    <t>シート名_6</t>
    <rPh sb="3" eb="4">
      <t>メイ</t>
    </rPh>
    <phoneticPr fontId="1"/>
  </si>
  <si>
    <t>シート名_7</t>
    <rPh sb="3" eb="4">
      <t>メイ</t>
    </rPh>
    <phoneticPr fontId="1"/>
  </si>
  <si>
    <t>シート名_8</t>
    <rPh sb="3" eb="4">
      <t>メイ</t>
    </rPh>
    <phoneticPr fontId="1"/>
  </si>
  <si>
    <t>シート名_9</t>
    <rPh sb="3" eb="4">
      <t>メイ</t>
    </rPh>
    <phoneticPr fontId="1"/>
  </si>
  <si>
    <t>シート名_10</t>
    <rPh sb="3" eb="4">
      <t>メイ</t>
    </rPh>
    <phoneticPr fontId="1"/>
  </si>
  <si>
    <t>2012.4. 週間業務計画表・改1.xls</t>
  </si>
  <si>
    <t>\\Nasm01\10\351400000\07．手配\01．保全G\01.月間予定\2024年以前\2012(H24)年度予定表\2012.4. 週間業務計画表・改1.xls</t>
  </si>
  <si>
    <t>第1週</t>
  </si>
  <si>
    <t>シート名</t>
    <rPh sb="3" eb="4">
      <t>メイ</t>
    </rPh>
    <phoneticPr fontId="1"/>
  </si>
  <si>
    <t>2012.5. 週間業務計画表・改1.xls</t>
  </si>
  <si>
    <t>\\Nasm01\10\351400000\07．手配\01．保全G\01.月間予定\2024年以前\2012(H24)年度予定表\2012.5. 週間業務計画表・改1.xls</t>
  </si>
  <si>
    <t>第2週</t>
  </si>
  <si>
    <t>2012.6. 週間業務計画表・改1.xls</t>
  </si>
  <si>
    <t>\\Nasm01\10\351400000\07．手配\01．保全G\01.月間予定\2024年以前\2012(H24)年度予定表\2012.6. 週間業務計画表・改1.xls</t>
  </si>
  <si>
    <t>第3週</t>
  </si>
  <si>
    <t>2012.07. 週間業務計画表・改1.xls</t>
    <phoneticPr fontId="1"/>
  </si>
  <si>
    <t>\\Nasm01\10\351400000\07．手配\01．保全G\01.月間予定\2024年以前\2012(H24)年度予定表\2012.7. 週間業務計画表・改1.xls</t>
  </si>
  <si>
    <t>第4週</t>
  </si>
  <si>
    <t>2012.08. 週間業務計画表・改1.xls</t>
    <phoneticPr fontId="1"/>
  </si>
  <si>
    <t>\\Nasm01\10\351400000\07．手配\01．保全G\01.月間予定\2024年以前\2012(H24)年度予定表\2012.8. 週間業務計画表・改1.xls</t>
  </si>
  <si>
    <t>第5週</t>
  </si>
  <si>
    <t>2012.09. 週間業務計画表・改1.xls</t>
    <phoneticPr fontId="1"/>
  </si>
  <si>
    <t>\\Nasm01\10\351400000\07．手配\01．保全G\01.月間予定\2024年以前\2012(H24)年度予定表\2012.9. 週間業務計画表・改1.xls</t>
  </si>
  <si>
    <t>2012.10. 週間業務計画表・改1.xls</t>
  </si>
  <si>
    <t>\\Nasm01\10\351400000\07．手配\01．保全G\01.月間予定\2024年以前\2012(H24)年度予定表\2012.10. 週間業務計画表・改1.xls</t>
  </si>
  <si>
    <t>2012.11. 週間業務計画表・改1.xls</t>
  </si>
  <si>
    <t>\\Nasm01\10\351400000\07．手配\01．保全G\01.月間予定\2024年以前\2012(H24)年度予定表\2012.11. 週間業務計画表・改1.xls</t>
  </si>
  <si>
    <t>2012.12. 週間業務計画表・改1.xls</t>
  </si>
  <si>
    <t>\\Nasm01\10\351400000\07．手配\01．保全G\01.月間予定\2024年以前\2012(H24)年度予定表\2012.12. 週間業務計画表・改1.xls</t>
  </si>
  <si>
    <t>2013.01. 週間業務計画表・改1.xls</t>
  </si>
  <si>
    <t>\\Nasm01\10\351400000\07．手配\01．保全G\01.月間予定\2024年以前\2012(H24)年度予定表\2013.1. 週間業務計画表・改1.xls</t>
  </si>
  <si>
    <t>2013.02. 週間業務計画表・改1.xls</t>
  </si>
  <si>
    <t>\\Nasm01\10\351400000\07．手配\01．保全G\01.月間予定\2024年以前\2012(H24)年度予定表\2013.2. 週間業務計画表・改1.xls</t>
  </si>
  <si>
    <t>2013.03. 週間業務計画表・改1.xls</t>
  </si>
  <si>
    <t>\\Nasm01\10\351400000\07．手配\01．保全G\01.月間予定\2024年以前\2012(H24)年度予定表\2013.3. 週間業務計画表・改1.xls</t>
  </si>
  <si>
    <t>工程表ヘッダー行数</t>
    <rPh sb="0" eb="3">
      <t>コウテイヒョウ</t>
    </rPh>
    <rPh sb="7" eb="8">
      <t>ギョウ</t>
    </rPh>
    <rPh sb="8" eb="9">
      <t>カズ</t>
    </rPh>
    <phoneticPr fontId="1"/>
  </si>
  <si>
    <t>1:3</t>
    <phoneticPr fontId="1"/>
  </si>
  <si>
    <t>行</t>
    <rPh sb="0" eb="1">
      <t>ギョウ</t>
    </rPh>
    <phoneticPr fontId="1"/>
  </si>
  <si>
    <t>工程表ヘッダー列数</t>
    <rPh sb="0" eb="3">
      <t>コウテイヒョウ</t>
    </rPh>
    <rPh sb="7" eb="8">
      <t>レツ</t>
    </rPh>
    <rPh sb="8" eb="9">
      <t>カズ</t>
    </rPh>
    <phoneticPr fontId="1"/>
  </si>
  <si>
    <t>A</t>
    <phoneticPr fontId="1"/>
  </si>
  <si>
    <t>列</t>
    <rPh sb="0" eb="1">
      <t>レツ</t>
    </rPh>
    <phoneticPr fontId="1"/>
  </si>
  <si>
    <t>無視。Bから処理を繰り返す</t>
    <rPh sb="0" eb="2">
      <t>ムシ</t>
    </rPh>
    <rPh sb="6" eb="8">
      <t>ショリ</t>
    </rPh>
    <rPh sb="9" eb="10">
      <t>ク</t>
    </rPh>
    <rPh sb="11" eb="12">
      <t>カエ</t>
    </rPh>
    <phoneticPr fontId="1"/>
  </si>
  <si>
    <t>1日の行数</t>
    <rPh sb="1" eb="2">
      <t>ニチ</t>
    </rPh>
    <rPh sb="3" eb="4">
      <t>ギョウ</t>
    </rPh>
    <rPh sb="4" eb="5">
      <t>カズ</t>
    </rPh>
    <phoneticPr fontId="1"/>
  </si>
  <si>
    <t>2013.04 週間業務計画表・改1.xls</t>
  </si>
  <si>
    <t>\\Nasm01\10\351400000\07．手配\01．保全G\01.月間予定\2024年以前\2013(H25)年度予定表\４月週間業務計画表・改1.xls</t>
  </si>
  <si>
    <t>1週間の日数</t>
    <rPh sb="1" eb="3">
      <t>シュウカン</t>
    </rPh>
    <rPh sb="4" eb="6">
      <t>ニッスウ</t>
    </rPh>
    <phoneticPr fontId="1"/>
  </si>
  <si>
    <t>回（日）</t>
    <rPh sb="0" eb="1">
      <t>カイ</t>
    </rPh>
    <rPh sb="2" eb="3">
      <t>ニチ</t>
    </rPh>
    <phoneticPr fontId="1"/>
  </si>
  <si>
    <t>2013.05 週間業務計画表・改1.xls</t>
  </si>
  <si>
    <t>\\Nasm01\10\351400000\07．手配\01．保全G\01.月間予定\2024年以前\2013(H25)年度予定表\５月週間業務計画表・改1.xls</t>
  </si>
  <si>
    <t>2013.06 週間業務計画表・改1.xls</t>
  </si>
  <si>
    <t>\\Nasm01\10\351400000\07．手配\01．保全G\01.月間予定\2024年以前\2013(H25)年度予定表\６月週間業務計画表・改1.xls</t>
  </si>
  <si>
    <t>年の取得場所</t>
    <rPh sb="0" eb="1">
      <t>ネン</t>
    </rPh>
    <phoneticPr fontId="1"/>
  </si>
  <si>
    <t>FR2</t>
    <phoneticPr fontId="1"/>
  </si>
  <si>
    <t>アドレス</t>
    <phoneticPr fontId="1"/>
  </si>
  <si>
    <t>2013.07 週間業務計画表・改1.xls</t>
  </si>
  <si>
    <t>\\Nasm01\10\351400000\07．手配\01．保全G\01.月間予定\2024年以前\2013(H25)年度予定表\７月週間業務計画表・改1.xls</t>
  </si>
  <si>
    <t>月の取得場所</t>
    <rPh sb="0" eb="1">
      <t>ツキ</t>
    </rPh>
    <phoneticPr fontId="1"/>
  </si>
  <si>
    <t>GB2</t>
    <phoneticPr fontId="1"/>
  </si>
  <si>
    <t>2013.08 週間業務計画表・改1.xls</t>
  </si>
  <si>
    <t>\\Nasm01\10\351400000\07．手配\01．保全G\01.月間予定\2024年以前\2013(H25)年度予定表\８月週間業務計画表・改1.xls</t>
  </si>
  <si>
    <t>日の取得位置</t>
    <rPh sb="0" eb="1">
      <t>ヒ</t>
    </rPh>
    <rPh sb="2" eb="4">
      <t>シュトク</t>
    </rPh>
    <rPh sb="4" eb="6">
      <t>イチ</t>
    </rPh>
    <phoneticPr fontId="1"/>
  </si>
  <si>
    <t>2013.09 週間業務計画表・改1.xls</t>
  </si>
  <si>
    <t>\\Nasm01\10\351400000\07．手配\01．保全G\01.月間予定\2024年以前\2013(H25)年度予定表\９月週間業務計画表・改1.xls</t>
  </si>
  <si>
    <t>行目</t>
    <rPh sb="0" eb="1">
      <t>ギョウ</t>
    </rPh>
    <rPh sb="1" eb="2">
      <t>メ</t>
    </rPh>
    <phoneticPr fontId="1"/>
  </si>
  <si>
    <t>6, 14, 22, 30, 38, 46, 54</t>
    <phoneticPr fontId="1"/>
  </si>
  <si>
    <t>2013.10 週間業務計画表・改1.xls</t>
  </si>
  <si>
    <t>\\Nasm01\10\351400000\07．手配\01．保全G\01.月間予定\2024年以前\2013(H25)年度予定表\１０月週間業務計画表・改1.xls</t>
  </si>
  <si>
    <t>2013.11 週間業務計画表・改1.xls</t>
  </si>
  <si>
    <t>\\Nasm01\10\351400000\07．手配\01．保全G\01.月間予定\2024年以前\2013(H25)年度予定表\１１月週間業務計画表・改1.xls</t>
  </si>
  <si>
    <t>1日の工程数</t>
    <rPh sb="1" eb="2">
      <t>ニチ</t>
    </rPh>
    <rPh sb="3" eb="5">
      <t>コウテイ</t>
    </rPh>
    <rPh sb="5" eb="6">
      <t>カズ</t>
    </rPh>
    <phoneticPr fontId="1"/>
  </si>
  <si>
    <t>B:FP</t>
    <phoneticPr fontId="1"/>
  </si>
  <si>
    <t>回</t>
    <rPh sb="0" eb="1">
      <t>カイ</t>
    </rPh>
    <phoneticPr fontId="1"/>
  </si>
  <si>
    <t>2013.12 週間業務計画表・改1.xls</t>
  </si>
  <si>
    <t>\\Nasm01\10\351400000\07．手配\01．保全G\01.月間予定\2024年以前\2013(H25)年度予定表\１２月週間業務計画表・改1.xls</t>
  </si>
  <si>
    <t>2014.01 週間業務計画表・改1.xls</t>
  </si>
  <si>
    <t>\\Nasm01\10\351400000\07．手配\01．保全G\01.月間予定\2024年以前\2013(H25)年度予定表\１月週間業務計画表・改1.xls</t>
  </si>
  <si>
    <t>大阪北</t>
    <rPh sb="0" eb="2">
      <t>オオサカ</t>
    </rPh>
    <rPh sb="2" eb="3">
      <t>キタ</t>
    </rPh>
    <phoneticPr fontId="1"/>
  </si>
  <si>
    <t>野江</t>
    <phoneticPr fontId="1"/>
  </si>
  <si>
    <t>1つ目_工程列数(作業人数)</t>
    <phoneticPr fontId="1"/>
  </si>
  <si>
    <t>B:E</t>
  </si>
  <si>
    <t>2014.02 週間業務計画表・改1.xls</t>
  </si>
  <si>
    <t>\\Nasm01\10\351400000\07．手配\01．保全G\01.月間予定\2024年以前\2013(H25)年度予定表\２月週間業務計画表・改1.xls</t>
  </si>
  <si>
    <t>2つ目_工程列数(作業人数)</t>
  </si>
  <si>
    <t>2014.03 週間業務計画表・改1.xls</t>
  </si>
  <si>
    <t>\\Nasm01\10\351400000\07．手配\01．保全G\01.月間予定\2024年以前\2013(H25)年度予定表\３月週間業務計画表・改1.xls</t>
  </si>
  <si>
    <t>3つ目_工程列数(作業人数)</t>
    <phoneticPr fontId="1"/>
  </si>
  <si>
    <t>4つ目_工程列数(作業人数)</t>
  </si>
  <si>
    <t>小曽根</t>
    <phoneticPr fontId="1"/>
  </si>
  <si>
    <t>1つ目_工程列数(作業人数)</t>
  </si>
  <si>
    <t>S:V</t>
  </si>
  <si>
    <t>2014.04 週間業務計画表.xls</t>
  </si>
  <si>
    <t>\\Nasm01\10\351400000\07．手配\01．保全G\01.月間予定\2024年以前\2014(H26)年度予定表\H26年度４月週間業務計画表.xls</t>
  </si>
  <si>
    <t>W:Z</t>
  </si>
  <si>
    <t>2014.05 週間業務計画表.xls</t>
  </si>
  <si>
    <t>\\Nasm01\10\351400000\07．手配\01．保全G\01.月間予定\2024年以前\2014(H26)年度予定表\H26年度５月週間業務計画表.xls</t>
  </si>
  <si>
    <t>3つ目_工程列数(作業人数)</t>
  </si>
  <si>
    <t>AA:AD</t>
  </si>
  <si>
    <t>2014.06 週間業務計画表.xls</t>
  </si>
  <si>
    <t>\\Nasm01\10\351400000\07．手配\01．保全G\01.月間予定\2024年以前\2014(H26)年度予定表\H26年度６月週間業務計画表.xls</t>
  </si>
  <si>
    <t>AE:AI</t>
  </si>
  <si>
    <t>2014.07 週間業務計画表.xls</t>
  </si>
  <si>
    <t>\\Nasm01\10\351400000\07．手配\01．保全G\01.月間予定\2024年以前\2014(H26)年度予定表\H26年度７月週間業務計画表.xls</t>
  </si>
  <si>
    <t>南大阪</t>
    <phoneticPr fontId="1"/>
  </si>
  <si>
    <t>我孫子</t>
    <phoneticPr fontId="1"/>
  </si>
  <si>
    <t>AJ:AM</t>
  </si>
  <si>
    <t>2014.08 週間業務計画表.xls</t>
  </si>
  <si>
    <t>\\Nasm01\10\351400000\07．手配\01．保全G\01.月間予定\2024年以前\2014(H26)年度予定表\H26年度８月週間業務計画表.xls</t>
  </si>
  <si>
    <t>AN:AQ</t>
  </si>
  <si>
    <t>2014.09 週間業務計画表.xls</t>
  </si>
  <si>
    <t>\\Nasm01\10\351400000\07．手配\01．保全G\01.月間予定\2024年以前\2014(H26)年度予定表\H26年度９月週間業務計画表.xls</t>
  </si>
  <si>
    <t>AR:AU</t>
  </si>
  <si>
    <t>2014.10 週間業務計画表.xls</t>
  </si>
  <si>
    <t>\\Nasm01\10\351400000\07．手配\01．保全G\01.月間予定\2024年以前\2014(H26)年度予定表\H26年度１０月週間業務計画表.xls</t>
  </si>
  <si>
    <t>AV:AZ</t>
  </si>
  <si>
    <t>2014.11 週間業務計画表.xls</t>
  </si>
  <si>
    <t>\\Nasm01\10\351400000\07．手配\01．保全G\01.月間予定\2024年以前\2014(H26)年度予定表\H26年度１１月週間業務計画表.xls</t>
  </si>
  <si>
    <t>南大阪</t>
  </si>
  <si>
    <t>BA:BD</t>
    <phoneticPr fontId="1"/>
  </si>
  <si>
    <t>2014.12 週間業務計画表.xls</t>
  </si>
  <si>
    <t>\\Nasm01\10\351400000\07．手配\01．保全G\01.月間予定\2024年以前\2014(H26)年度予定表\H26年度１２月週間業務計画表.xls</t>
  </si>
  <si>
    <t>BE:BH</t>
    <phoneticPr fontId="1"/>
  </si>
  <si>
    <t>2015.01 週間業務計画表.xls</t>
  </si>
  <si>
    <t>\\Nasm01\10\351400000\07．手配\01．保全G\01.月間予定\2024年以前\2014(H26)年度予定表\H26年度１月週間業務計画表.xls</t>
  </si>
  <si>
    <t>BI:BL</t>
    <phoneticPr fontId="1"/>
  </si>
  <si>
    <t>2015.02 週間業務計画表.xlsm</t>
  </si>
  <si>
    <t>\\Nasm01\10\351400000\07．手配\01．保全G\01.月間予定\2024年以前\2014(H26)年度予定表\H26年度２月週間業務計画表.xlsm</t>
  </si>
  <si>
    <t>BM:BQ</t>
    <phoneticPr fontId="1"/>
  </si>
  <si>
    <t>2015.03 週間業務計画表.xlsm</t>
  </si>
  <si>
    <t>\\Nasm01\10\351400000\07．手配\01．保全G\01.月間予定\2024年以前\2014(H26)年度予定表\H26年度３月週間業務計画表.xlsm</t>
  </si>
  <si>
    <t>神戸</t>
  </si>
  <si>
    <t>BR:BU</t>
    <phoneticPr fontId="1"/>
  </si>
  <si>
    <t>BV:BY</t>
    <phoneticPr fontId="1"/>
  </si>
  <si>
    <t>BZ:CC</t>
    <phoneticPr fontId="1"/>
  </si>
  <si>
    <t>2015.04 週間業務計画表.xlsm</t>
  </si>
  <si>
    <t>\\Nasm01\10\351400000\07．手配\01．保全G\01.月間予定\2024年以前\2015(H27)年度予定表\H27年度４月週間業務計画表.xlsm</t>
  </si>
  <si>
    <t>CD:CH</t>
    <phoneticPr fontId="1"/>
  </si>
  <si>
    <t>2015.05 週間業務計画表.xlsm</t>
  </si>
  <si>
    <t>\\Nasm01\10\351400000\07．手配\01．保全G\01.月間予定\2024年以前\2015(H27)年度予定表\H27年度５月週間業務計画表.xlsm</t>
  </si>
  <si>
    <t>尼崎</t>
  </si>
  <si>
    <t>CI:CL</t>
    <phoneticPr fontId="1"/>
  </si>
  <si>
    <t>2015.06 週間業務計画表.xlsm</t>
  </si>
  <si>
    <t>\\Nasm01\10\351400000\07．手配\01．保全G\01.月間予定\2024年以前\2015(H27)年度予定表\H27年度６月週間業務計画表.xlsm</t>
  </si>
  <si>
    <t>CM:CP</t>
    <phoneticPr fontId="1"/>
  </si>
  <si>
    <t>2015.07 週間業務計画表.xlsm</t>
  </si>
  <si>
    <t>\\Nasm01\10\351400000\07．手配\01．保全G\01.月間予定\2024年以前\2015(H27)年度予定表\H27年度７月週間業務計画表.xlsm</t>
  </si>
  <si>
    <t>CQ:CT</t>
    <phoneticPr fontId="1"/>
  </si>
  <si>
    <t>2015.08 週間業務計画表.xlsm</t>
  </si>
  <si>
    <t>\\Nasm01\10\351400000\07．手配\01．保全G\01.月間予定\2024年以前\2015(H27)年度予定表\H27年度８月週間業務計画表.xlsm</t>
  </si>
  <si>
    <t>CU:CY</t>
    <phoneticPr fontId="1"/>
  </si>
  <si>
    <t>2015.09 週間業務計画表.xlsm</t>
  </si>
  <si>
    <t>\\Nasm01\10\351400000\07．手配\01．保全G\01.月間予定\2024年以前\2015(H27)年度予定表\H27年度９月週間業務計画表.xlsm</t>
  </si>
  <si>
    <t>奈良</t>
  </si>
  <si>
    <t>奈良・吉野</t>
  </si>
  <si>
    <t>CZ:DC</t>
    <phoneticPr fontId="1"/>
  </si>
  <si>
    <t>2015.10 週間業務計画表.xlsm</t>
  </si>
  <si>
    <t>\\Nasm01\10\351400000\07．手配\01．保全G\01.月間予定\2024年以前\2015(H27)年度予定表\H27年度１０月週間業務計画表.xlsm</t>
  </si>
  <si>
    <t>DD:DG</t>
    <phoneticPr fontId="1"/>
  </si>
  <si>
    <t>2015.11 週間業務計画表.xlsm</t>
  </si>
  <si>
    <t>\\Nasm01\10\351400000\07．手配\01．保全G\01.月間予定\2024年以前\2015(H27)年度予定表\H27年度１１月週間業務計画表.xlsm</t>
  </si>
  <si>
    <t>DH:DK</t>
    <phoneticPr fontId="1"/>
  </si>
  <si>
    <t>2015.12 週間業務計画表.xlsm</t>
  </si>
  <si>
    <t>\\Nasm01\10\351400000\07．手配\01．保全G\01.月間予定\2024年以前\2015(H27)年度予定表\H27年度１２月週間業務計画表.xlsm</t>
  </si>
  <si>
    <t>吉野水力ｾﾝﾀｰ</t>
    <phoneticPr fontId="1"/>
  </si>
  <si>
    <t>DL:DO</t>
    <phoneticPr fontId="1"/>
  </si>
  <si>
    <t>2016.01 週間業務計画表.xlsm</t>
  </si>
  <si>
    <t>\\Nasm01\10\351400000\07．手配\01．保全G\01.月間予定\2024年以前\2015(H27)年度予定表\H27年度１月週間業務計画表.xlsm</t>
  </si>
  <si>
    <t>DP:DS</t>
    <phoneticPr fontId="1"/>
  </si>
  <si>
    <t>2016.02 週間業務計画表.xlsm</t>
  </si>
  <si>
    <t>\\Nasm01\10\351400000\07．手配\01．保全G\01.月間予定\2024年以前\2015(H27)年度予定表\H27年度２月週間業務計画表.xlsm</t>
  </si>
  <si>
    <t>応援他</t>
  </si>
  <si>
    <t>DT:DW</t>
    <phoneticPr fontId="1"/>
  </si>
  <si>
    <t>2016.03 週間業務計画表.xlsm</t>
  </si>
  <si>
    <t>\\Nasm01\10\351400000\07．手配\01．保全G\01.月間予定\2024年以前\2015(H27)年度予定表\H27年度３月週間業務計画表.xlsm</t>
  </si>
  <si>
    <t>DX:EA</t>
    <phoneticPr fontId="1"/>
  </si>
  <si>
    <t>EB:EE</t>
    <phoneticPr fontId="1"/>
  </si>
  <si>
    <t>応援･教育･その他</t>
    <phoneticPr fontId="1"/>
  </si>
  <si>
    <t>EF:EI</t>
    <phoneticPr fontId="1"/>
  </si>
  <si>
    <t>2016.04 週間業務計画表.xlsm</t>
  </si>
  <si>
    <t>\\Nasm01\10\351400000\07．手配\01．保全G\01.月間予定\2024年以前\2016(H28)年度予定表\H28年度4月週間業務計画表.xlsm</t>
  </si>
  <si>
    <t>EJ:EM</t>
    <phoneticPr fontId="1"/>
  </si>
  <si>
    <t>2016.05 週間業務計画表.xlsm</t>
  </si>
  <si>
    <t>\\Nasm01\10\351400000\07．手配\01．保全G\01.月間予定\2024年以前\2016(H28)年度予定表\H28年度5月週間業務計画表.xlsm</t>
  </si>
  <si>
    <t>EN:EQ</t>
    <phoneticPr fontId="1"/>
  </si>
  <si>
    <t>2016.06 週間業務計画表.xlsm</t>
  </si>
  <si>
    <t>\\Nasm01\10\351400000\07．手配\01．保全G\01.月間予定\2024年以前\2016(H28)年度予定表\H28年度6月週間業務計画表.xlsm</t>
  </si>
  <si>
    <t>ER:EU</t>
    <phoneticPr fontId="1"/>
  </si>
  <si>
    <t>2016.07 週間業務計画表.xlsm</t>
  </si>
  <si>
    <t>\\Nasm01\10\351400000\07．手配\01．保全G\01.月間予定\2024年以前\2016(H28)年度予定表\H28年度7月週間業務計画表.xlsm</t>
  </si>
  <si>
    <t>5つ目_工程列数(作業人数)</t>
  </si>
  <si>
    <t>EV:FB</t>
    <phoneticPr fontId="1"/>
  </si>
  <si>
    <t>2016.08 週間業務計画表.xlsm</t>
  </si>
  <si>
    <t>\\Nasm01\10\351400000\07．手配\01．保全G\01.月間予定\2024年以前\2016(H28)年度予定表\H28年度8月週間業務計画表.xlsm</t>
  </si>
  <si>
    <t>6つ目_工程列数(作業人数)</t>
  </si>
  <si>
    <t>FC:FI</t>
    <phoneticPr fontId="1"/>
  </si>
  <si>
    <t>2016.09 週間業務計画表.xlsm</t>
  </si>
  <si>
    <t>\\Nasm01\10\351400000\07．手配\01．保全G\01.月間予定\2024年以前\2016(H28)年度予定表\H28年度9月週間業務計画表.xlsm</t>
  </si>
  <si>
    <t>7つ目_工程列数(作業人数)</t>
  </si>
  <si>
    <t>FJ:FP</t>
    <phoneticPr fontId="1"/>
  </si>
  <si>
    <t>2016.10 週間業務計画表.xlsm</t>
  </si>
  <si>
    <t>\\Nasm01\10\351400000\07．手配\01．保全G\01.月間予定\2024年以前\2016(H28)年度予定表\H28年度10月週間業務計画表.xlsm</t>
  </si>
  <si>
    <t>2016.11 週間業務計画表.xlsm</t>
  </si>
  <si>
    <t>\\Nasm01\10\351400000\07．手配\01．保全G\01.月間予定\2024年以前\2016(H28)年度予定表\H28年度11月週間業務計画表.xlsm</t>
  </si>
  <si>
    <t>2016.12 週間業務計画表.xlsm</t>
  </si>
  <si>
    <t>\\Nasm01\10\351400000\07．手配\01．保全G\01.月間予定\2024年以前\2016(H28)年度予定表\H28年度12月週間業務計画表.xlsm</t>
  </si>
  <si>
    <t>2017.01 週間業務計画表.xlsm</t>
  </si>
  <si>
    <t>\\Nasm01\10\351400000\07．手配\01．保全G\01.月間予定\2024年以前\2016(H28)年度予定表\H28年度1月週間業務計画表.xlsm</t>
  </si>
  <si>
    <t>2017.02 週間業務計画表.xlsm</t>
  </si>
  <si>
    <t>\\Nasm01\10\351400000\07．手配\01．保全G\01.月間予定\2024年以前\2016(H28)年度予定表\H28年度2月週間業務計画表.xlsm</t>
  </si>
  <si>
    <t>2017.03 週間業務計画表.xlsm</t>
  </si>
  <si>
    <t>\\Nasm01\10\351400000\07．手配\01．保全G\01.月間予定\2024年以前\2016(H28)年度予定表\H28年度3月週間業務計画表.xlsm</t>
  </si>
  <si>
    <t>2017.04 週間業務計画表.xlsm</t>
  </si>
  <si>
    <t>\\Nasm01\10\351400000\07．手配\01．保全G\01.月間予定\2024年以前\2017(H29)年度予定表\H29年度4月週間業務計画表.xlsm</t>
  </si>
  <si>
    <t>2017.05 週間業務計画表.xlsm</t>
  </si>
  <si>
    <t>\\Nasm01\10\351400000\07．手配\01．保全G\01.月間予定\2024年以前\2017(H29)年度予定表\H29年度5月週間業務計画表.xlsm</t>
  </si>
  <si>
    <t>2017.06 週間業務計画表.xlsm</t>
  </si>
  <si>
    <t>\\Nasm01\10\351400000\07．手配\01．保全G\01.月間予定\2024年以前\2017(H29)年度予定表\H29年度6月週間業務計画表.xlsm</t>
  </si>
  <si>
    <t>2017.07 週間業務計画表.xlsm</t>
  </si>
  <si>
    <t>\\Nasm01\10\351400000\07．手配\01．保全G\01.月間予定\2024年以前\2017(H29)年度予定表\H29年度7月週間業務計画表.xlsm</t>
  </si>
  <si>
    <t>2017.08 週間業務計画表.xlsm</t>
  </si>
  <si>
    <t>\\Nasm01\10\351400000\07．手配\01．保全G\01.月間予定\2024年以前\2017(H29)年度予定表\H29年度8月週間業務計画表.xlsm</t>
  </si>
  <si>
    <t>2017.09 週間業務計画表.xlsm</t>
  </si>
  <si>
    <t>\\Nasm01\10\351400000\07．手配\01．保全G\01.月間予定\2024年以前\2017(H29)年度予定表\H29年度9月週間業務計画表.xlsm</t>
  </si>
  <si>
    <t>2017.10 週間業務計画表.xlsm</t>
  </si>
  <si>
    <t>\\Nasm01\10\351400000\07．手配\01．保全G\01.月間予定\2024年以前\2017(H29)年度予定表\H29年度10月週間業務計画表.xlsm</t>
  </si>
  <si>
    <t>2017.11 週間業務計画表.xlsm</t>
  </si>
  <si>
    <t>\\Nasm01\10\351400000\07．手配\01．保全G\01.月間予定\2024年以前\2017(H29)年度予定表\H29年度11月週間業務計画表.xlsm</t>
  </si>
  <si>
    <t>2017.12 週間業務計画表.xlsm</t>
  </si>
  <si>
    <t>\\Nasm01\10\351400000\07．手配\01．保全G\01.月間予定\2024年以前\2017(H29)年度予定表\H29年度12月週間業務計画表.xlsm</t>
  </si>
  <si>
    <t>2018.01 週間業務計画表.xlsm</t>
  </si>
  <si>
    <t>\\Nasm01\10\351400000\07．手配\01．保全G\01.月間予定\2024年以前\2017(H29)年度予定表\H29年度1月週間業務計画表.xlsm</t>
  </si>
  <si>
    <t>2018.02 週間業務計画表.xlsm</t>
  </si>
  <si>
    <t>\\Nasm01\10\351400000\07．手配\01．保全G\01.月間予定\2024年以前\2017(H29)年度予定表\H29年度2月週間業務計画表.xlsm</t>
  </si>
  <si>
    <t>2018.03 週間業務計画表.xlsm</t>
  </si>
  <si>
    <t>\\Nasm01\10\351400000\07．手配\01．保全G\01.月間予定\2024年以前\2017(H29)年度予定表\H29年度3月週間業務計画表.xlsm</t>
  </si>
  <si>
    <t>2018.04 週間業務計画表.xlsm</t>
  </si>
  <si>
    <t>\\Nasm01\10\351400000\07．手配\01．保全G\01.月間予定\2024年以前\2018(H30)年度予定表\H30年度4月週間業務計画表.xlsm</t>
  </si>
  <si>
    <t>2018.05 週間業務計画表.xlsm</t>
  </si>
  <si>
    <t>\\Nasm01\10\351400000\07．手配\01．保全G\01.月間予定\2024年以前\2018(H30)年度予定表\H30年度5月週間業務計画表.xlsm</t>
  </si>
  <si>
    <t>2018.06 週間業務計画表.xlsm</t>
  </si>
  <si>
    <t>\\Nasm01\10\351400000\07．手配\01．保全G\01.月間予定\2024年以前\2018(H30)年度予定表\H30年度6月週間業務計画表.xlsm</t>
  </si>
  <si>
    <t>2018.07 週間業務計画表.xlsm</t>
  </si>
  <si>
    <t>\\Nasm01\10\351400000\07．手配\01．保全G\01.月間予定\2024年以前\2018(H30)年度予定表\H30年度7月週間業務計画表.xlsm</t>
  </si>
  <si>
    <t>2018.08 週間業務計画表.xlsm</t>
  </si>
  <si>
    <t>\\Nasm01\10\351400000\07．手配\01．保全G\01.月間予定\2024年以前\2018(H30)年度予定表\H30年度8月週間業務計画表.xlsm</t>
  </si>
  <si>
    <t>2018.09 週間業務計画表.xlsm</t>
  </si>
  <si>
    <t>\\Nasm01\10\351400000\07．手配\01．保全G\01.月間予定\2024年以前\2018(H30)年度予定表\H30年度9月週間業務計画表.xlsm</t>
  </si>
  <si>
    <t>2018.10 週間業務計画表.xlsm</t>
  </si>
  <si>
    <t>\\Nasm01\10\351400000\07．手配\01．保全G\01.月間予定\2024年以前\2018(H30)年度予定表\H30年度10月週間業務計画表.xlsm</t>
  </si>
  <si>
    <t>2018.11 週間業務計画表.xlsm</t>
  </si>
  <si>
    <t>\\Nasm01\10\351400000\07．手配\01．保全G\01.月間予定\2024年以前\2018(H30)年度予定表\H30年度11月週間業務計画表.xlsm</t>
  </si>
  <si>
    <t>2018.12 週間業務計画表.xlsm</t>
  </si>
  <si>
    <t>\\Nasm01\10\351400000\07．手配\01．保全G\01.月間予定\2024年以前\2018(H30)年度予定表\H30年度12月週間業務計画表.xlsm</t>
  </si>
  <si>
    <t>2019.01 週間業務計画表.xlsm</t>
  </si>
  <si>
    <t>\\Nasm01\10\351400000\07．手配\01．保全G\01.月間予定\2024年以前\2018(H30)年度予定表\H30年度1月週間業務計画表.xlsm</t>
  </si>
  <si>
    <t>2019.02 週間業務計画表.xlsm</t>
  </si>
  <si>
    <t>\\Nasm01\10\351400000\07．手配\01．保全G\01.月間予定\2024年以前\2018(H30)年度予定表\H30年度2月週間業務計画表.xlsm</t>
  </si>
  <si>
    <t>2019.03 週間業務計画表.xlsm</t>
  </si>
  <si>
    <t>\\Nasm01\10\351400000\07．手配\01．保全G\01.月間予定\2024年以前\2018(H30)年度予定表\H30年度3月週間業務計画表.xlsm</t>
  </si>
  <si>
    <t>2019.04 週間業務計画表.xlsm</t>
  </si>
  <si>
    <t>\\Nasm01\10\351400000\07．手配\01．保全G\01.月間予定\2024年以前\2019年度予定表\2019年度4月週間業務計画表.xlsm</t>
  </si>
  <si>
    <t>2019.05 週間業務計画表.xlsm</t>
  </si>
  <si>
    <t>\\Nasm01\10\351400000\07．手配\01．保全G\01.月間予定\2024年以前\2019年度予定表\2019年度5月週間業務計画表.xlsm</t>
  </si>
  <si>
    <t>2019.06 週間業務計画表.xlsm</t>
  </si>
  <si>
    <t>\\Nasm01\10\351400000\07．手配\01．保全G\01.月間予定\2024年以前\2019年度予定表\2019年度6月週間業務計画表.xlsm</t>
  </si>
  <si>
    <t>2019.07 週間業務計画表.xlsm</t>
  </si>
  <si>
    <t>\\Nasm01\10\351400000\07．手配\01．保全G\01.月間予定\2024年以前\2019年度予定表\2019年度7月週間業務計画表.xlsm</t>
  </si>
  <si>
    <t>2019.08 週間業務計画表.xlsm</t>
  </si>
  <si>
    <t>\\Nasm01\10\351400000\07．手配\01．保全G\01.月間予定\2024年以前\2019年度予定表\2019年度8月週間業務計画表.xlsm</t>
  </si>
  <si>
    <t>2019.09 週間業務計画表.xlsm</t>
  </si>
  <si>
    <t>\\Nasm01\10\351400000\07．手配\01．保全G\01.月間予定\2024年以前\2019年度予定表\2019年度9月週間業務計画表.xlsm</t>
  </si>
  <si>
    <t>2019.10 週間業務計画表.xlsm</t>
  </si>
  <si>
    <t>\\Nasm01\10\351400000\07．手配\01．保全G\01.月間予定\2024年以前\2019年度予定表\2019年度10月週間業務計画表.xlsm</t>
  </si>
  <si>
    <t>2019.11 週間業務計画表.xlsm</t>
  </si>
  <si>
    <t>\\Nasm01\10\351400000\07．手配\01．保全G\01.月間予定\2024年以前\2019年度予定表\2019年度11月週間業務計画表.xlsm</t>
  </si>
  <si>
    <t>2019.12 週間業務計画表.xlsm</t>
  </si>
  <si>
    <t>\\Nasm01\10\351400000\07．手配\01．保全G\01.月間予定\2024年以前\2019年度予定表\2019年度12月週間業務計画表.xlsm</t>
  </si>
  <si>
    <t>2020.01 週間業務計画表.xlsm</t>
  </si>
  <si>
    <t>\\Nasm01\10\351400000\07．手配\01．保全G\01.月間予定\2024年以前\2019年度予定表\2019年度1月週間業務計画表.xlsm</t>
  </si>
  <si>
    <t>2020.02 週間業務計画表.xlsm</t>
  </si>
  <si>
    <t>\\Nasm01\10\351400000\07．手配\01．保全G\01.月間予定\2024年以前\2019年度予定表\2019年度2月週間業務計画表.xlsm</t>
  </si>
  <si>
    <t>2020.03 週間業務計画表.xlsm</t>
  </si>
  <si>
    <t>\\Nasm01\10\351400000\07．手配\01．保全G\01.月間予定\2024年以前\2019年度予定表\2019年度3月週間業務計画表.xlsm</t>
  </si>
  <si>
    <t>2020.04 週間業務計画表.xlsm</t>
  </si>
  <si>
    <t>\\Nasm01\10\351400000\07．手配\01．保全G\01.月間予定\2024年以前\2020年度予定表\2020年度4月週間業務計画表.xlsm</t>
  </si>
  <si>
    <t>2020.05 週間業務計画表.xlsm</t>
  </si>
  <si>
    <t>\\Nasm01\10\351400000\07．手配\01．保全G\01.月間予定\2024年以前\2020年度予定表\2020年度5月週間業務計画表.xlsm</t>
  </si>
  <si>
    <t>2020.06 週間業務計画表.xlsm</t>
  </si>
  <si>
    <t>\\Nasm01\10\351400000\07．手配\01．保全G\01.月間予定\2024年以前\2020年度予定表\2020年度6月週間業務計画表.xlsm</t>
  </si>
  <si>
    <t>2020.07 週間業務計画表.xlsm</t>
  </si>
  <si>
    <t>\\Nasm01\10\351400000\07．手配\01．保全G\01.月間予定\2024年以前\2020年度予定表\2020年度7月週間業務計画表.xlsm</t>
  </si>
  <si>
    <t>2020.08 週間業務計画表.xlsm</t>
  </si>
  <si>
    <t>\\Nasm01\10\351400000\07．手配\01．保全G\01.月間予定\2024年以前\2020年度予定表\2020年度8月週間業務計画表.xlsm</t>
  </si>
  <si>
    <t>2020.09 週間業務計画表.xlsm</t>
  </si>
  <si>
    <t>\\Nasm01\10\351400000\07．手配\01．保全G\01.月間予定\2024年以前\2020年度予定表\2020年度9月週間業務計画表.xlsm</t>
  </si>
  <si>
    <t>2020.10 週間業務計画表.xlsm</t>
  </si>
  <si>
    <t>\\Nasm01\10\351400000\07．手配\01．保全G\01.月間予定\2024年以前\2020年度予定表\2020年度10月週間業務計画表.xlsm</t>
  </si>
  <si>
    <t>2020.11 週間業務計画表.xlsm</t>
  </si>
  <si>
    <t>\\Nasm01\10\351400000\07．手配\01．保全G\01.月間予定\2024年以前\2020年度予定表\2020年度11月週間業務計画表.xlsm</t>
  </si>
  <si>
    <t>2020.12 週間業務計画表.xlsm</t>
  </si>
  <si>
    <t>\\Nasm01\10\351400000\07．手配\01．保全G\01.月間予定\2024年以前\2020年度予定表\2020年度12月週間業務計画表.xlsm</t>
  </si>
  <si>
    <t>2021.01 週間業務計画表.xlsm</t>
  </si>
  <si>
    <t>\\Nasm01\10\351400000\07．手配\01．保全G\01.月間予定\2024年以前\2020年度予定表\2020年度1月週間業務計画表.xlsm</t>
  </si>
  <si>
    <t>2021.02 週間業務計画表.xlsm</t>
  </si>
  <si>
    <t>\\Nasm01\10\351400000\07．手配\01．保全G\01.月間予定\2024年以前\2020年度予定表\2020年度2月週間業務計画表.xlsm</t>
  </si>
  <si>
    <t>2021.03 週間業務計画表.xlsm</t>
  </si>
  <si>
    <t>\\Nasm01\10\351400000\07．手配\01．保全G\01.月間予定\2024年以前\2020年度予定表\2020年度3月週間業務計画表.xlsm</t>
  </si>
  <si>
    <t>2021.04 週間業務計画表.xlsm</t>
  </si>
  <si>
    <t>\\Nasm01\10\351400000\07．手配\01．保全G\01.月間予定\2024年以前\2021年度予定表\2021年度4月週間業務計画表.xlsm</t>
  </si>
  <si>
    <t>2021.05 週間業務計画表.xlsm</t>
  </si>
  <si>
    <t>\\Nasm01\10\351400000\07．手配\01．保全G\01.月間予定\2024年以前\2021年度予定表\2021年度5月週間業務計画表.xlsm</t>
  </si>
  <si>
    <t>2021.06 週間業務計画表.xlsm</t>
  </si>
  <si>
    <t>\\Nasm01\10\351400000\07．手配\01．保全G\01.月間予定\2024年以前\2021年度予定表\2021年度6月週間業務計画表.xlsm</t>
  </si>
  <si>
    <t>2021.07 週間業務計画表.xlsm</t>
  </si>
  <si>
    <t>\\Nasm01\10\351400000\07．手配\01．保全G\01.月間予定\2024年以前\2021年度予定表\2021年度7月週間業務計画表.xlsm</t>
  </si>
  <si>
    <t>2021.08 週間業務計画表.xlsm</t>
  </si>
  <si>
    <t>\\Nasm01\10\351400000\07．手配\01．保全G\01.月間予定\2024年以前\2021年度予定表\2021年度8月週間業務計画表.xlsm</t>
  </si>
  <si>
    <t>2021.09 週間業務計画表.xlsm</t>
  </si>
  <si>
    <t>\\Nasm01\10\351400000\07．手配\01．保全G\01.月間予定\2024年以前\2021年度予定表\2021年度9月週間業務計画表.xlsm</t>
  </si>
  <si>
    <t>2021.10 週間業務計画表.xlsm</t>
  </si>
  <si>
    <t>\\Nasm01\10\351400000\07．手配\01．保全G\01.月間予定\2024年以前\2021年度予定表\2021年度10月週間業務計画表.xlsm</t>
  </si>
  <si>
    <t>2021.11 週間業務計画表.xlsm</t>
  </si>
  <si>
    <t>\\Nasm01\10\351400000\07．手配\01．保全G\01.月間予定\2024年以前\2021年度予定表\2021年度11月週間業務計画表.xlsm</t>
  </si>
  <si>
    <t>2021.12 週間業務計画表.xlsm</t>
  </si>
  <si>
    <t>\\Nasm01\10\351400000\07．手配\01．保全G\01.月間予定\2024年以前\2021年度予定表\2021年度12月週間業務計画表.xlsm</t>
  </si>
  <si>
    <t>2022.01 週間業務計画表.xlsm</t>
  </si>
  <si>
    <t>\\Nasm01\10\351400000\07．手配\01．保全G\01.月間予定\2024年以前\2021年度予定表\2021年度1月週間業務計画表.xlsm</t>
  </si>
  <si>
    <t>2022.02 週間業務計画表.xlsm</t>
  </si>
  <si>
    <t>\\Nasm01\10\351400000\07．手配\01．保全G\01.月間予定\2024年以前\2021年度予定表\2021年度2月週間業務計画表.xlsm</t>
  </si>
  <si>
    <t>2022.03 週間業務計画表.xlsm</t>
  </si>
  <si>
    <t>\\Nasm01\10\351400000\07．手配\01．保全G\01.月間予定\2024年以前\2021年度予定表\2021年度3月週間業務計画表.xlsm</t>
  </si>
  <si>
    <t>2022.04 週間業務計画表.xlsm</t>
  </si>
  <si>
    <t>\\Nasm01\10\351400000\07．手配\01．保全G\01.月間予定\2024年以前\2022年度予定表\2022年度4月週間業務計画表.xlsm</t>
  </si>
  <si>
    <t>2022.05 週間業務計画表.xlsm</t>
  </si>
  <si>
    <t>\\Nasm01\10\351400000\07．手配\01．保全G\01.月間予定\2024年以前\2022年度予定表\2022年度5月週間業務計画表.xlsm</t>
  </si>
  <si>
    <t>2022.06 週間業務計画表.xlsm</t>
  </si>
  <si>
    <t>\\Nasm01\10\351400000\07．手配\01．保全G\01.月間予定\2024年以前\2022年度予定表\2022年度6月週間業務計画表.xlsm</t>
  </si>
  <si>
    <t>2022.07 週間業務計画表.xlsm</t>
  </si>
  <si>
    <t>\\Nasm01\10\351400000\07．手配\01．保全G\01.月間予定\2024年以前\2022年度予定表\2022年度7月週間業務計画表.xlsm</t>
  </si>
  <si>
    <t>2022.08 週間業務計画表.xlsm</t>
  </si>
  <si>
    <t>\\Nasm01\10\351400000\07．手配\01．保全G\01.月間予定\2024年以前\2022年度予定表\2022年度8月週間業務計画表.xlsm</t>
  </si>
  <si>
    <t>2022.09 週間業務計画表.xlsm</t>
  </si>
  <si>
    <t>\\Nasm01\10\351400000\07．手配\01．保全G\01.月間予定\2024年以前\2022年度予定表\2022年度9月週間業務計画表.xlsm</t>
  </si>
  <si>
    <t>2022.10 週間業務計画表.xlsm</t>
  </si>
  <si>
    <t>\\Nasm01\10\351400000\07．手配\01．保全G\01.月間予定\2024年以前\2022年度予定表\2022年度10月週間業務計画表.xlsm</t>
  </si>
  <si>
    <t>2022.11 週間業務計画表.xlsm</t>
  </si>
  <si>
    <t>\\Nasm01\10\351400000\07．手配\01．保全G\01.月間予定\2024年以前\2022年度予定表\2022年度11月週間業務計画表.xlsm</t>
  </si>
  <si>
    <t>2022.12 週間業務計画表.xlsm</t>
  </si>
  <si>
    <t>\\Nasm01\10\351400000\07．手配\01．保全G\01.月間予定\2024年以前\2022年度予定表\2022年度12月週間業務計画表.xlsm</t>
  </si>
  <si>
    <t>2023.01 週間業務計画表.xlsm</t>
  </si>
  <si>
    <t>\\Nasm01\10\351400000\07．手配\01．保全G\01.月間予定\2024年以前\2022年度予定表\2022年度1月週間業務計画表.xlsm</t>
  </si>
  <si>
    <t>2023.02 週間業務計画表.xlsm</t>
  </si>
  <si>
    <t>\\Nasm01\10\351400000\07．手配\01．保全G\01.月間予定\2024年以前\2022年度予定表\2022年度2月週間業務計画表.xlsm</t>
  </si>
  <si>
    <t>2023.03 週間業務計画表.xlsm</t>
  </si>
  <si>
    <t>\\Nasm01\10\351400000\07．手配\01．保全G\01.月間予定\2024年以前\2022年度予定表\2022年度3月週間業務計画表.xlsm</t>
  </si>
  <si>
    <t>2023.04月週間業務計画表.xlsm</t>
  </si>
  <si>
    <t>\\Nasm01\10\351400000\07．手配\01．保全G\01.月間予定\2024年以前\2023年度\01.週間予定表\2023.04月週間業務計画表.xlsm</t>
  </si>
  <si>
    <t>2023.05月週間業務計画表.xlsm</t>
  </si>
  <si>
    <t>\\Nasm01\10\351400000\07．手配\01．保全G\01.月間予定\2024年以前\2023年度\01.週間予定表\2023.05月週間業務計画表.xlsm</t>
  </si>
  <si>
    <t>2023.06月週間業務計画表.xlsm</t>
  </si>
  <si>
    <t>\\Nasm01\10\351400000\07．手配\01．保全G\01.月間予定\2024年以前\2023年度\01.週間予定表\2023.06月週間業務計画表.xlsm</t>
  </si>
  <si>
    <t>2023.07月週間業務計画表.xlsm</t>
  </si>
  <si>
    <t>\\Nasm01\10\351400000\07．手配\01．保全G\01.月間予定\2024年以前\2023年度\01.週間予定表\2023.07月週間業務計画表.xlsm</t>
  </si>
  <si>
    <t>2023.08月週間予定表.xlsx</t>
  </si>
  <si>
    <t>\\Nasm01\10\351400000\07．手配\01．保全G\01.月間予定\2024年以前\2023年度\01.週間予定表\2023.08月週間予定表.xlsx</t>
  </si>
  <si>
    <t>2023.09月週間予定表 (2).xlsx</t>
  </si>
  <si>
    <t>\\Nasm01\10\351400000\07．手配\01．保全G\01.月間予定\2024年以前\2023年度\01.週間予定表\2023.09月週間予定表 (2).xlsx</t>
  </si>
  <si>
    <t>2023.09月週間予定表.xlsx</t>
  </si>
  <si>
    <t>\\Nasm01\10\351400000\07．手配\01．保全G\01.月間予定\2024年以前\2023年度\01.週間予定表\2023.09月週間予定表.xlsx</t>
  </si>
  <si>
    <t>2023.10月週間予定表.xlsx</t>
  </si>
  <si>
    <t>\\Nasm01\10\351400000\07．手配\01．保全G\01.月間予定\2024年以前\2023年度\01.週間予定表\2023.10月週間予定表.xlsx</t>
  </si>
  <si>
    <t>2023.11月週間予定表.xlsx</t>
  </si>
  <si>
    <t>\\Nasm01\10\351400000\07．手配\01．保全G\01.月間予定\2024年以前\2023年度\01.週間予定表\2023.11月週間予定表.xlsx</t>
  </si>
  <si>
    <t>2023.12月週間予定表.xlsx</t>
  </si>
  <si>
    <t>\\Nasm01\10\351400000\07．手配\01．保全G\01.月間予定\2024年以前\2023年度\01.週間予定表\2023.12月週間予定表.xlsx</t>
  </si>
  <si>
    <t>2024.01月週間予定表.xlsx</t>
  </si>
  <si>
    <t>\\Nasm01\10\351400000\07．手配\01．保全G\01.月間予定\2024年以前\2023年度\01.週間予定表\2024.01月週間予定表.xlsx</t>
  </si>
  <si>
    <t>2024.02月週間予定表.xlsx</t>
  </si>
  <si>
    <t>\\Nasm01\10\351400000\07．手配\01．保全G\01.月間予定\2024年以前\2023年度\01.週間予定表\2024.02月週間予定表.xlsx</t>
  </si>
  <si>
    <t>2024.03月週間予定表.xlsx</t>
    <phoneticPr fontId="1"/>
  </si>
  <si>
    <t>\\Nasm01\10\351400000\07．手配\01．保全G\01.月間予定\2024年以前\2023年度\01.週間予定表\2024.03月週間予定表.xlsx</t>
  </si>
  <si>
    <t>2024.04 保全G月間予定表.xlsx</t>
  </si>
  <si>
    <t>\\Nasm01\10\351400000\07．手配\01．保全G\01.月間予定\2024年以前\2024年度\01.週間予定表\2024.04 保全G月間予定表.xlsx</t>
  </si>
  <si>
    <t>2024.05 保全G月間予定表.xlsx</t>
  </si>
  <si>
    <t>\\Nasm01\10\351400000\07．手配\01．保全G\01.月間予定\2024年以前\2024年度\01.週間予定表\2024.05 保全G月間予定表.xlsx</t>
  </si>
  <si>
    <t>2024.06 保全G月間予定表.xlsx</t>
  </si>
  <si>
    <t>\\Nasm01\10\351400000\07．手配\01．保全G\01.月間予定\2024年以前\2024年度\01.週間予定表\2024.06 保全G月間予定表.xlsx</t>
  </si>
  <si>
    <t>2024.07 保全G月間予定表.xlsx</t>
  </si>
  <si>
    <t>\\Nasm01\10\351400000\07．手配\01．保全G\01.月間予定\2024年以前\2024年度\01.週間予定表\2024.07 保全G月間予定表.xlsx</t>
  </si>
  <si>
    <t>2024.08 保全G月間予定表.xlsx</t>
  </si>
  <si>
    <t>\\Nasm01\10\351400000\07．手配\01．保全G\01.月間予定\2024年以前\2024年度\01.週間予定表\2024.08 保全G月間予定表.xlsx</t>
  </si>
  <si>
    <t>2024.09 保全G月間予定表.xlsx</t>
  </si>
  <si>
    <t>\\Nasm01\10\351400000\07．手配\01．保全G\01.月間予定\2024年以前\2024年度\01.週間予定表\2024.09 保全G月間予定表.xlsx</t>
  </si>
  <si>
    <t>2024.10 保全G月間予定表.xlsx</t>
  </si>
  <si>
    <t>\\Nasm01\10\351400000\07．手配\01．保全G\01.月間予定\2024年以前\2024年度\01.週間予定表\2024.10 保全G月間予定表.xlsx</t>
  </si>
  <si>
    <t>2024.11 保全G月間予定表.xlsx</t>
  </si>
  <si>
    <t>\\Nasm01\10\351400000\07．手配\01．保全G\01.月間予定\2024年以前\2024年度\01.週間予定表\2024.11 保全G月間予定表.xlsx</t>
  </si>
  <si>
    <t>2024.12 保全G月間予定表.xlsx</t>
  </si>
  <si>
    <t>\\Nasm01\10\351400000\07．手配\01．保全G\01.月間予定\2024年以前\2024年度\01.週間予定表\2024.12 保全G月間予定表.xlsx</t>
  </si>
  <si>
    <t>2025.01 保全G月間予定表.xlsx</t>
  </si>
  <si>
    <t>\\Nasm01\10\351400000\07．手配\01．保全G\01.月間予定\2024年以前\2024年度\01.週間予定表\2025.01 保全G月間予定表.xlsx</t>
  </si>
  <si>
    <t>2025.02 保全G月間予定表.xlsx</t>
  </si>
  <si>
    <t>\\Nasm01\10\351400000\07．手配\01．保全G\01.月間予定\2024年以前\2024年度\01.週間予定表\2025.02 保全G月間予定表.xlsx</t>
  </si>
  <si>
    <t>2025.03 保全G月間予定表.xlsx</t>
  </si>
  <si>
    <t>\\Nasm01\10\351400000\07．手配\01．保全G\01.月間予定\2024年以前\2024年度\01.週間予定表\2025.03 保全G月間予定表.xlsx</t>
  </si>
  <si>
    <t>\\Nasm01\10\351400000\07．手配\01．保全G\01.月間予定\2025年度\01.週間予定表\2025.04 月間予定表.xlsx</t>
  </si>
  <si>
    <t>\\Nasm01\10\351400000\07．手配\01．保全G\01.月間予定\2025年度\01.週間予定表\2025.05 月間予定表.xlsx</t>
  </si>
  <si>
    <t>\\Nasm01\10\351400000\07．手配\01．保全G\01.月間予定\2025年度\01.週間予定表\2025.06 月間予定表.xlsx</t>
  </si>
  <si>
    <t>\\Nasm01\10\351400000\07．手配\01．保全G\01.月間予定\2025年度\01.週間予定表\2025.07 月間予定表.xlsx</t>
  </si>
  <si>
    <t>\\Nasm01\10\351400000\07．手配\01．保全G\01.月間予定\2025年度\01.週間予定表\2025.08 月間予定表.xlsx</t>
  </si>
  <si>
    <t>\\Nasm01\10\351400000\07．手配\01．保全G\01.月間予定\2025年度\01.週間予定表\2025.09 月間予定表.xlsx</t>
  </si>
  <si>
    <t>\\Nasm01\10\351400000\07．手配\01．保全G\01.月間予定\2025年度\01.週間予定表\2025.10 月間予定表.xlsx</t>
  </si>
  <si>
    <t>\\Nasm01\10\351400000\07．手配\01．保全G\01.月間予定\2025年度\01.週間予定表\2025.11 月間予定表.xlsx</t>
  </si>
  <si>
    <t>\\Nasm01\10\351400000\07．手配\01．保全G\01.月間予定\2025年度\01.週間予定表\2025.12 月間予定表.xlsx</t>
  </si>
  <si>
    <t>\\Nasm01\10\351400000\07．手配\01．保全G\01.月間予定\2025年度\01.週間予定表\2026.01 月間予定表.xlsx</t>
  </si>
  <si>
    <t>\\Nasm01\10\351400000\07．手配\01．保全G\01.月間予定\2025年度\01.週間予定表\2026.02 月間予定表.xlsx</t>
  </si>
  <si>
    <t>\\Nasm01\10\351400000\07．手配\01．保全G\01.月間予定\2025年度\01.週間予定表\2026.03 月間予定表.xlsx</t>
  </si>
  <si>
    <t>1行A列</t>
    <rPh sb="1" eb="2">
      <t>ギョウ</t>
    </rPh>
    <phoneticPr fontId="1"/>
  </si>
  <si>
    <t>参考位置</t>
    <rPh sb="0" eb="2">
      <t>サンコウ</t>
    </rPh>
    <rPh sb="2" eb="4">
      <t>イチ</t>
    </rPh>
    <phoneticPr fontId="1"/>
  </si>
  <si>
    <t>分類（単位）</t>
    <rPh sb="0" eb="2">
      <t>ブンルイ</t>
    </rPh>
    <rPh sb="3" eb="5">
      <t>タンイ</t>
    </rPh>
    <phoneticPr fontId="1"/>
  </si>
  <si>
    <t>メモ</t>
    <phoneticPr fontId="1"/>
  </si>
  <si>
    <t>予定表保存フォルダパス</t>
    <rPh sb="0" eb="3">
      <t>ヨテイヒョウ</t>
    </rPh>
    <rPh sb="3" eb="5">
      <t>ホゾン</t>
    </rPh>
    <phoneticPr fontId="1"/>
  </si>
  <si>
    <t>\\Nasm01\10\351400000\07．手配\01．保全G\01.月間予定\2025年度\01.週間予定表</t>
  </si>
  <si>
    <t>ダイアログボックスの表示場所</t>
    <rPh sb="10" eb="12">
      <t>ヒョウジ</t>
    </rPh>
    <rPh sb="12" eb="14">
      <t>バショ</t>
    </rPh>
    <phoneticPr fontId="1"/>
  </si>
  <si>
    <t>C:\Users\062383\Desktop\マクロ</t>
    <phoneticPr fontId="1"/>
  </si>
  <si>
    <t>シート情報</t>
    <rPh sb="3" eb="5">
      <t>ジョウホウ</t>
    </rPh>
    <phoneticPr fontId="1"/>
  </si>
  <si>
    <t>メニュー</t>
    <phoneticPr fontId="1"/>
  </si>
  <si>
    <t>マクロ未使用</t>
    <rPh sb="3" eb="6">
      <t>ミシヨウ</t>
    </rPh>
    <phoneticPr fontId="1"/>
  </si>
  <si>
    <t>トップ・設定選択画面</t>
    <rPh sb="4" eb="6">
      <t>セッテイ</t>
    </rPh>
    <rPh sb="6" eb="8">
      <t>センタク</t>
    </rPh>
    <rPh sb="8" eb="10">
      <t>ガメン</t>
    </rPh>
    <phoneticPr fontId="1"/>
  </si>
  <si>
    <t>リスト</t>
    <phoneticPr fontId="1"/>
  </si>
  <si>
    <t>作業員・変電所情報</t>
    <rPh sb="0" eb="3">
      <t>サギョウイン</t>
    </rPh>
    <rPh sb="4" eb="7">
      <t>ヘンデンショ</t>
    </rPh>
    <rPh sb="7" eb="9">
      <t>ジョウホウ</t>
    </rPh>
    <phoneticPr fontId="1"/>
  </si>
  <si>
    <t>保存箇所</t>
    <rPh sb="0" eb="2">
      <t>ホゾン</t>
    </rPh>
    <rPh sb="2" eb="4">
      <t>カショ</t>
    </rPh>
    <phoneticPr fontId="1"/>
  </si>
  <si>
    <t>抽出出力シート名</t>
    <rPh sb="0" eb="2">
      <t>チュウシュツ</t>
    </rPh>
    <rPh sb="2" eb="4">
      <t>シュツリョク</t>
    </rPh>
    <rPh sb="7" eb="8">
      <t>メイ</t>
    </rPh>
    <phoneticPr fontId="1"/>
  </si>
  <si>
    <t>一覧</t>
    <phoneticPr fontId="1"/>
  </si>
  <si>
    <t>抽出結果出力シート、シートのフォーマット設定は下記</t>
    <rPh sb="0" eb="2">
      <t>チュウシュツ</t>
    </rPh>
    <rPh sb="2" eb="4">
      <t>ケッカ</t>
    </rPh>
    <rPh sb="4" eb="6">
      <t>シュツリョク</t>
    </rPh>
    <rPh sb="20" eb="22">
      <t>セッテイ</t>
    </rPh>
    <rPh sb="23" eb="25">
      <t>カキ</t>
    </rPh>
    <phoneticPr fontId="1"/>
  </si>
  <si>
    <t>検索条件のログ名</t>
    <rPh sb="0" eb="4">
      <t>ケンサクジョウケン</t>
    </rPh>
    <phoneticPr fontId="1"/>
  </si>
  <si>
    <t>FiltersLog</t>
    <phoneticPr fontId="1"/>
  </si>
  <si>
    <t>プログラムエラーログシート名</t>
    <phoneticPr fontId="1"/>
  </si>
  <si>
    <t>ErrorLog</t>
    <phoneticPr fontId="1"/>
  </si>
  <si>
    <t>設定ファイルシート名</t>
    <rPh sb="0" eb="2">
      <t>セッテイ</t>
    </rPh>
    <phoneticPr fontId="1"/>
  </si>
  <si>
    <t>Config</t>
    <phoneticPr fontId="1"/>
  </si>
  <si>
    <t>各工程表のフォーマット管理シート名</t>
    <rPh sb="0" eb="1">
      <t>カク</t>
    </rPh>
    <rPh sb="1" eb="4">
      <t>コウテイヒョウ</t>
    </rPh>
    <rPh sb="11" eb="13">
      <t>カンリ</t>
    </rPh>
    <rPh sb="16" eb="17">
      <t>メイ</t>
    </rPh>
    <phoneticPr fontId="1"/>
  </si>
  <si>
    <t>Work</t>
  </si>
  <si>
    <t>[修正前] 設定ファイル</t>
    <rPh sb="1" eb="3">
      <t>シュウセイ</t>
    </rPh>
    <rPh sb="3" eb="4">
      <t>マエ</t>
    </rPh>
    <rPh sb="6" eb="8">
      <t>セッテイ</t>
    </rPh>
    <phoneticPr fontId="1"/>
  </si>
  <si>
    <t>Config (2)</t>
    <phoneticPr fontId="1"/>
  </si>
  <si>
    <t>各シートのフォーマット</t>
    <rPh sb="0" eb="1">
      <t>カク</t>
    </rPh>
    <phoneticPr fontId="1"/>
  </si>
  <si>
    <t>検索シート</t>
    <rPh sb="0" eb="2">
      <t>ケンサク</t>
    </rPh>
    <phoneticPr fontId="1"/>
  </si>
  <si>
    <t>シートのフォーマット</t>
    <phoneticPr fontId="1"/>
  </si>
  <si>
    <t>絞り込み</t>
    <rPh sb="0" eb="1">
      <t>シボ</t>
    </rPh>
    <rPh sb="2" eb="3">
      <t>コ</t>
    </rPh>
    <phoneticPr fontId="1"/>
  </si>
  <si>
    <t>作業員_検索方法</t>
    <rPh sb="0" eb="3">
      <t>サギョウイン</t>
    </rPh>
    <rPh sb="4" eb="6">
      <t>ケンサク</t>
    </rPh>
    <rPh sb="6" eb="8">
      <t>ホウホウ</t>
    </rPh>
    <phoneticPr fontId="1"/>
  </si>
  <si>
    <t>And</t>
    <phoneticPr fontId="1"/>
  </si>
  <si>
    <t>And or OR</t>
    <phoneticPr fontId="1"/>
  </si>
  <si>
    <t>AND</t>
    <phoneticPr fontId="1"/>
  </si>
  <si>
    <t>OR</t>
    <phoneticPr fontId="1"/>
  </si>
  <si>
    <t>作業員_1</t>
    <rPh sb="0" eb="3">
      <t>サギョウイン</t>
    </rPh>
    <phoneticPr fontId="1"/>
  </si>
  <si>
    <t>平松</t>
    <rPh sb="0" eb="2">
      <t>ヒラマツ</t>
    </rPh>
    <phoneticPr fontId="1"/>
  </si>
  <si>
    <t>人目</t>
    <rPh sb="0" eb="1">
      <t>ニン</t>
    </rPh>
    <rPh sb="1" eb="2">
      <t>メ</t>
    </rPh>
    <phoneticPr fontId="1"/>
  </si>
  <si>
    <t>作業員_2</t>
    <rPh sb="0" eb="3">
      <t>サギョウイン</t>
    </rPh>
    <phoneticPr fontId="1"/>
  </si>
  <si>
    <t>作業員_3</t>
    <rPh sb="0" eb="3">
      <t>サギョウイン</t>
    </rPh>
    <phoneticPr fontId="1"/>
  </si>
  <si>
    <t>作業員_4</t>
    <rPh sb="0" eb="3">
      <t>サギョウイン</t>
    </rPh>
    <phoneticPr fontId="1"/>
  </si>
  <si>
    <t>作業員_5</t>
    <rPh sb="0" eb="3">
      <t>サギョウイン</t>
    </rPh>
    <phoneticPr fontId="1"/>
  </si>
  <si>
    <t>作業員_6</t>
    <rPh sb="0" eb="3">
      <t>サギョウイン</t>
    </rPh>
    <phoneticPr fontId="1"/>
  </si>
  <si>
    <t>作業員_7</t>
    <rPh sb="0" eb="3">
      <t>サギョウイン</t>
    </rPh>
    <phoneticPr fontId="1"/>
  </si>
  <si>
    <t>作業員_8</t>
    <rPh sb="0" eb="3">
      <t>サギョウイン</t>
    </rPh>
    <phoneticPr fontId="1"/>
  </si>
  <si>
    <t>作業員_9</t>
    <rPh sb="0" eb="3">
      <t>サギョウイン</t>
    </rPh>
    <phoneticPr fontId="1"/>
  </si>
  <si>
    <t>作業員_10</t>
    <rPh sb="0" eb="3">
      <t>サギョウイン</t>
    </rPh>
    <phoneticPr fontId="1"/>
  </si>
  <si>
    <t>作業員_11</t>
    <rPh sb="0" eb="3">
      <t>サギョウイン</t>
    </rPh>
    <phoneticPr fontId="1"/>
  </si>
  <si>
    <t>作業員_12</t>
    <rPh sb="0" eb="3">
      <t>サギョウイン</t>
    </rPh>
    <phoneticPr fontId="1"/>
  </si>
  <si>
    <t>作業員_13</t>
    <rPh sb="0" eb="3">
      <t>サギョウイン</t>
    </rPh>
    <phoneticPr fontId="1"/>
  </si>
  <si>
    <t>作業員_14</t>
    <rPh sb="0" eb="3">
      <t>サギョウイン</t>
    </rPh>
    <phoneticPr fontId="1"/>
  </si>
  <si>
    <t>作業員_15</t>
    <rPh sb="0" eb="3">
      <t>サギョウイン</t>
    </rPh>
    <phoneticPr fontId="1"/>
  </si>
  <si>
    <t>作業員_16</t>
    <rPh sb="0" eb="3">
      <t>サギョウイン</t>
    </rPh>
    <phoneticPr fontId="1"/>
  </si>
  <si>
    <t>作業員_17</t>
    <rPh sb="0" eb="3">
      <t>サギョウイン</t>
    </rPh>
    <phoneticPr fontId="1"/>
  </si>
  <si>
    <t>作業員_18</t>
    <rPh sb="0" eb="3">
      <t>サギョウイン</t>
    </rPh>
    <phoneticPr fontId="1"/>
  </si>
  <si>
    <t>作業員_19</t>
    <rPh sb="0" eb="3">
      <t>サギョウイン</t>
    </rPh>
    <phoneticPr fontId="1"/>
  </si>
  <si>
    <t>作業員_20</t>
    <rPh sb="0" eb="3">
      <t>サギョウイン</t>
    </rPh>
    <phoneticPr fontId="1"/>
  </si>
  <si>
    <t>場所</t>
    <rPh sb="0" eb="2">
      <t>バショ</t>
    </rPh>
    <phoneticPr fontId="1"/>
  </si>
  <si>
    <t>管内1_1</t>
    <rPh sb="0" eb="2">
      <t>カンナイ</t>
    </rPh>
    <phoneticPr fontId="1"/>
  </si>
  <si>
    <t>大阪北</t>
  </si>
  <si>
    <t>管内1_2</t>
    <rPh sb="0" eb="2">
      <t>カンナイ</t>
    </rPh>
    <phoneticPr fontId="1"/>
  </si>
  <si>
    <t>管内1_3</t>
    <rPh sb="0" eb="2">
      <t>カンナイ</t>
    </rPh>
    <phoneticPr fontId="1"/>
  </si>
  <si>
    <t>管内1_4</t>
    <rPh sb="0" eb="2">
      <t>カンナイ</t>
    </rPh>
    <phoneticPr fontId="1"/>
  </si>
  <si>
    <t>管内1_5</t>
    <rPh sb="0" eb="2">
      <t>カンナイ</t>
    </rPh>
    <phoneticPr fontId="1"/>
  </si>
  <si>
    <t>吉野水力ｾﾝﾀｰ</t>
  </si>
  <si>
    <t>管内1_6</t>
    <rPh sb="0" eb="2">
      <t>カンナイ</t>
    </rPh>
    <phoneticPr fontId="1"/>
  </si>
  <si>
    <t>管内1_7</t>
    <rPh sb="0" eb="2">
      <t>カンナイ</t>
    </rPh>
    <phoneticPr fontId="1"/>
  </si>
  <si>
    <t>応援･教育･その他</t>
  </si>
  <si>
    <t>管内1_8</t>
    <rPh sb="0" eb="2">
      <t>カンナイ</t>
    </rPh>
    <phoneticPr fontId="1"/>
  </si>
  <si>
    <t>管内1_9</t>
    <rPh sb="0" eb="2">
      <t>カンナイ</t>
    </rPh>
    <phoneticPr fontId="1"/>
  </si>
  <si>
    <t>管内1_10</t>
    <rPh sb="0" eb="2">
      <t>カンナイ</t>
    </rPh>
    <phoneticPr fontId="1"/>
  </si>
  <si>
    <t>管内1_11</t>
    <rPh sb="0" eb="2">
      <t>カンナイ</t>
    </rPh>
    <phoneticPr fontId="1"/>
  </si>
  <si>
    <t>管内1_12</t>
    <rPh sb="0" eb="2">
      <t>カンナイ</t>
    </rPh>
    <phoneticPr fontId="1"/>
  </si>
  <si>
    <t>管内1_13</t>
    <rPh sb="0" eb="2">
      <t>カンナイ</t>
    </rPh>
    <phoneticPr fontId="1"/>
  </si>
  <si>
    <t>管内1_14</t>
    <rPh sb="0" eb="2">
      <t>カンナイ</t>
    </rPh>
    <phoneticPr fontId="1"/>
  </si>
  <si>
    <t>管内1_15</t>
    <rPh sb="0" eb="2">
      <t>カンナイ</t>
    </rPh>
    <phoneticPr fontId="1"/>
  </si>
  <si>
    <t>管内1_16</t>
    <rPh sb="0" eb="2">
      <t>カンナイ</t>
    </rPh>
    <phoneticPr fontId="1"/>
  </si>
  <si>
    <t>管内1_17</t>
    <rPh sb="0" eb="2">
      <t>カンナイ</t>
    </rPh>
    <phoneticPr fontId="1"/>
  </si>
  <si>
    <t>管内1_18</t>
    <rPh sb="0" eb="2">
      <t>カンナイ</t>
    </rPh>
    <phoneticPr fontId="1"/>
  </si>
  <si>
    <t>管内1_19</t>
    <rPh sb="0" eb="2">
      <t>カンナイ</t>
    </rPh>
    <phoneticPr fontId="1"/>
  </si>
  <si>
    <t>管内1_20</t>
    <rPh sb="0" eb="2">
      <t>カンナイ</t>
    </rPh>
    <phoneticPr fontId="1"/>
  </si>
  <si>
    <t>管内2_1</t>
    <rPh sb="0" eb="2">
      <t>カンナイ</t>
    </rPh>
    <phoneticPr fontId="1"/>
  </si>
  <si>
    <t>野江</t>
  </si>
  <si>
    <t>管内2_2</t>
    <rPh sb="0" eb="2">
      <t>カンナイ</t>
    </rPh>
    <phoneticPr fontId="1"/>
  </si>
  <si>
    <t>小曽根</t>
  </si>
  <si>
    <t>管内2_3</t>
    <rPh sb="0" eb="2">
      <t>カンナイ</t>
    </rPh>
    <phoneticPr fontId="1"/>
  </si>
  <si>
    <t>我孫子</t>
  </si>
  <si>
    <t>管内2_4</t>
    <rPh sb="0" eb="2">
      <t>カンナイ</t>
    </rPh>
    <phoneticPr fontId="1"/>
  </si>
  <si>
    <t>管内2_5</t>
    <rPh sb="0" eb="2">
      <t>カンナイ</t>
    </rPh>
    <phoneticPr fontId="1"/>
  </si>
  <si>
    <t>管内2_6</t>
    <rPh sb="0" eb="2">
      <t>カンナイ</t>
    </rPh>
    <phoneticPr fontId="1"/>
  </si>
  <si>
    <t>管内2_7</t>
    <rPh sb="0" eb="2">
      <t>カンナイ</t>
    </rPh>
    <phoneticPr fontId="1"/>
  </si>
  <si>
    <t>管内2_8</t>
    <rPh sb="0" eb="2">
      <t>カンナイ</t>
    </rPh>
    <phoneticPr fontId="1"/>
  </si>
  <si>
    <t>管内2_9</t>
    <rPh sb="0" eb="2">
      <t>カンナイ</t>
    </rPh>
    <phoneticPr fontId="1"/>
  </si>
  <si>
    <t>管内2_10</t>
    <rPh sb="0" eb="2">
      <t>カンナイ</t>
    </rPh>
    <phoneticPr fontId="1"/>
  </si>
  <si>
    <t>管内2_11</t>
    <rPh sb="0" eb="2">
      <t>カンナイ</t>
    </rPh>
    <phoneticPr fontId="1"/>
  </si>
  <si>
    <t>管内2_12</t>
    <rPh sb="0" eb="2">
      <t>カンナイ</t>
    </rPh>
    <phoneticPr fontId="1"/>
  </si>
  <si>
    <t>管内2_13</t>
    <rPh sb="0" eb="2">
      <t>カンナイ</t>
    </rPh>
    <phoneticPr fontId="1"/>
  </si>
  <si>
    <t>管内2_14</t>
    <rPh sb="0" eb="2">
      <t>カンナイ</t>
    </rPh>
    <phoneticPr fontId="1"/>
  </si>
  <si>
    <t>管内2_15</t>
    <rPh sb="0" eb="2">
      <t>カンナイ</t>
    </rPh>
    <phoneticPr fontId="1"/>
  </si>
  <si>
    <t>管内2_16</t>
    <rPh sb="0" eb="2">
      <t>カンナイ</t>
    </rPh>
    <phoneticPr fontId="1"/>
  </si>
  <si>
    <t>管内2_17</t>
    <rPh sb="0" eb="2">
      <t>カンナイ</t>
    </rPh>
    <phoneticPr fontId="1"/>
  </si>
  <si>
    <t>管内2_18</t>
    <rPh sb="0" eb="2">
      <t>カンナイ</t>
    </rPh>
    <phoneticPr fontId="1"/>
  </si>
  <si>
    <t>管内2_19</t>
    <rPh sb="0" eb="2">
      <t>カンナイ</t>
    </rPh>
    <phoneticPr fontId="1"/>
  </si>
  <si>
    <t>管内2_20</t>
    <rPh sb="0" eb="2">
      <t>カンナイ</t>
    </rPh>
    <phoneticPr fontId="1"/>
  </si>
  <si>
    <t>管内2_21</t>
    <rPh sb="0" eb="2">
      <t>カンナイ</t>
    </rPh>
    <phoneticPr fontId="1"/>
  </si>
  <si>
    <t>管内2_22</t>
    <rPh sb="0" eb="2">
      <t>カンナイ</t>
    </rPh>
    <phoneticPr fontId="1"/>
  </si>
  <si>
    <t>管内2_23</t>
    <rPh sb="0" eb="2">
      <t>カンナイ</t>
    </rPh>
    <phoneticPr fontId="1"/>
  </si>
  <si>
    <t>管内2_24</t>
    <rPh sb="0" eb="2">
      <t>カンナイ</t>
    </rPh>
    <phoneticPr fontId="1"/>
  </si>
  <si>
    <t>管内2_25</t>
    <rPh sb="0" eb="2">
      <t>カンナイ</t>
    </rPh>
    <phoneticPr fontId="1"/>
  </si>
  <si>
    <t>管内2_26</t>
    <rPh sb="0" eb="2">
      <t>カンナイ</t>
    </rPh>
    <phoneticPr fontId="1"/>
  </si>
  <si>
    <t>管内2_27</t>
    <rPh sb="0" eb="2">
      <t>カンナイ</t>
    </rPh>
    <phoneticPr fontId="1"/>
  </si>
  <si>
    <t>管内2_28</t>
    <rPh sb="0" eb="2">
      <t>カンナイ</t>
    </rPh>
    <phoneticPr fontId="1"/>
  </si>
  <si>
    <t>管内2_29</t>
    <rPh sb="0" eb="2">
      <t>カンナイ</t>
    </rPh>
    <phoneticPr fontId="1"/>
  </si>
  <si>
    <t>管内2_30</t>
    <rPh sb="0" eb="2">
      <t>カンナイ</t>
    </rPh>
    <phoneticPr fontId="1"/>
  </si>
  <si>
    <t>分類1</t>
    <rPh sb="0" eb="2">
      <t>ブンルイ</t>
    </rPh>
    <phoneticPr fontId="1"/>
  </si>
  <si>
    <t>制御 or 変電</t>
    <rPh sb="0" eb="2">
      <t>セイギョ</t>
    </rPh>
    <rPh sb="6" eb="8">
      <t>ヘンデン</t>
    </rPh>
    <phoneticPr fontId="1"/>
  </si>
  <si>
    <t>分類2</t>
    <rPh sb="0" eb="2">
      <t>ブンルイ</t>
    </rPh>
    <phoneticPr fontId="1"/>
  </si>
  <si>
    <t>現在なし（将来拡張時の予備）</t>
    <rPh sb="0" eb="2">
      <t>ゲンザイ</t>
    </rPh>
    <rPh sb="5" eb="7">
      <t>ショウライ</t>
    </rPh>
    <rPh sb="7" eb="9">
      <t>カクチョウ</t>
    </rPh>
    <rPh sb="9" eb="10">
      <t>ジ</t>
    </rPh>
    <rPh sb="11" eb="13">
      <t>ヨビ</t>
    </rPh>
    <phoneticPr fontId="1"/>
  </si>
  <si>
    <t>分類3</t>
    <rPh sb="0" eb="2">
      <t>ブンルイ</t>
    </rPh>
    <phoneticPr fontId="1"/>
  </si>
  <si>
    <t>工事種類（旧：点検種類）</t>
    <rPh sb="5" eb="6">
      <t>キュウ</t>
    </rPh>
    <phoneticPr fontId="1"/>
  </si>
  <si>
    <t>工事種類_1</t>
    <phoneticPr fontId="1"/>
  </si>
  <si>
    <t>自主など（自主の場合は「自」で検索が良い）</t>
    <rPh sb="0" eb="2">
      <t>ジシュ</t>
    </rPh>
    <rPh sb="5" eb="7">
      <t>ジシュ</t>
    </rPh>
    <rPh sb="8" eb="10">
      <t>バアイ</t>
    </rPh>
    <rPh sb="12" eb="13">
      <t>ジ</t>
    </rPh>
    <rPh sb="15" eb="17">
      <t>ケンサク</t>
    </rPh>
    <rPh sb="18" eb="19">
      <t>ヨ</t>
    </rPh>
    <phoneticPr fontId="1"/>
  </si>
  <si>
    <t>工事種類_2</t>
  </si>
  <si>
    <t>工事種類_3</t>
  </si>
  <si>
    <t>工事種類_4</t>
  </si>
  <si>
    <t>工事種類_5</t>
  </si>
  <si>
    <t>工事種類_6</t>
  </si>
  <si>
    <t>工事種類_7</t>
  </si>
  <si>
    <t>工事種類_8</t>
  </si>
  <si>
    <t>工事種類_9</t>
  </si>
  <si>
    <t>工事種類_10</t>
  </si>
  <si>
    <t>工番_1</t>
    <phoneticPr fontId="1"/>
  </si>
  <si>
    <t>X, A, C</t>
    <phoneticPr fontId="1"/>
  </si>
  <si>
    <t>不完全でも検索可能</t>
    <rPh sb="0" eb="3">
      <t>フカンゼン</t>
    </rPh>
    <rPh sb="5" eb="7">
      <t>ケンサク</t>
    </rPh>
    <rPh sb="7" eb="9">
      <t>カノウ</t>
    </rPh>
    <phoneticPr fontId="1"/>
  </si>
  <si>
    <t>工番_2</t>
  </si>
  <si>
    <t>工番_3</t>
  </si>
  <si>
    <t>工番_4</t>
  </si>
  <si>
    <t>工番_5</t>
  </si>
  <si>
    <t>工番_6</t>
  </si>
  <si>
    <t>工番_7</t>
  </si>
  <si>
    <t>工番_8</t>
  </si>
  <si>
    <t>工番_9</t>
  </si>
  <si>
    <t>工番_10</t>
  </si>
  <si>
    <t>作業名1 or 作業名2 or 作業名3</t>
    <phoneticPr fontId="1"/>
  </si>
  <si>
    <t>作業種類_1</t>
    <rPh sb="0" eb="2">
      <t>サギョウ</t>
    </rPh>
    <rPh sb="2" eb="4">
      <t>シュルイ</t>
    </rPh>
    <phoneticPr fontId="1"/>
  </si>
  <si>
    <t>TrRy</t>
    <phoneticPr fontId="1"/>
  </si>
  <si>
    <t>半角、全角、途中検索可能</t>
    <rPh sb="0" eb="2">
      <t>ハンカク</t>
    </rPh>
    <rPh sb="3" eb="5">
      <t>ゼンカク</t>
    </rPh>
    <rPh sb="6" eb="8">
      <t>トチュウ</t>
    </rPh>
    <rPh sb="8" eb="10">
      <t>ケンサク</t>
    </rPh>
    <rPh sb="10" eb="12">
      <t>カノウ</t>
    </rPh>
    <phoneticPr fontId="1"/>
  </si>
  <si>
    <t>作業種類_2</t>
    <rPh sb="0" eb="2">
      <t>サギョウ</t>
    </rPh>
    <rPh sb="2" eb="4">
      <t>シュルイ</t>
    </rPh>
    <phoneticPr fontId="1"/>
  </si>
  <si>
    <t>TrPro</t>
    <phoneticPr fontId="1"/>
  </si>
  <si>
    <t>作業種類_3</t>
    <rPh sb="0" eb="2">
      <t>サギョウ</t>
    </rPh>
    <rPh sb="2" eb="4">
      <t>シュルイ</t>
    </rPh>
    <phoneticPr fontId="1"/>
  </si>
  <si>
    <t>HTr</t>
    <phoneticPr fontId="1"/>
  </si>
  <si>
    <t>作業種類_4</t>
    <rPh sb="0" eb="2">
      <t>サギョウ</t>
    </rPh>
    <rPh sb="2" eb="4">
      <t>シュルイ</t>
    </rPh>
    <phoneticPr fontId="1"/>
  </si>
  <si>
    <t>作業種類_5</t>
    <rPh sb="0" eb="2">
      <t>サギョウ</t>
    </rPh>
    <rPh sb="2" eb="4">
      <t>シュルイ</t>
    </rPh>
    <phoneticPr fontId="1"/>
  </si>
  <si>
    <t>作業種類_6</t>
    <rPh sb="0" eb="2">
      <t>サギョウ</t>
    </rPh>
    <rPh sb="2" eb="4">
      <t>シュルイ</t>
    </rPh>
    <phoneticPr fontId="1"/>
  </si>
  <si>
    <t>作業種類_7</t>
    <rPh sb="0" eb="2">
      <t>サギョウ</t>
    </rPh>
    <rPh sb="2" eb="4">
      <t>シュルイ</t>
    </rPh>
    <phoneticPr fontId="1"/>
  </si>
  <si>
    <t>作業種類_8</t>
    <rPh sb="0" eb="2">
      <t>サギョウ</t>
    </rPh>
    <rPh sb="2" eb="4">
      <t>シュルイ</t>
    </rPh>
    <phoneticPr fontId="1"/>
  </si>
  <si>
    <t>作業種類_9</t>
    <rPh sb="0" eb="2">
      <t>サギョウ</t>
    </rPh>
    <rPh sb="2" eb="4">
      <t>シュルイ</t>
    </rPh>
    <phoneticPr fontId="1"/>
  </si>
  <si>
    <t>作業種類_10</t>
    <rPh sb="0" eb="2">
      <t>サギョウ</t>
    </rPh>
    <rPh sb="2" eb="4">
      <t>シュルイ</t>
    </rPh>
    <phoneticPr fontId="1"/>
  </si>
  <si>
    <t>作業種類_11</t>
    <rPh sb="0" eb="2">
      <t>サギョウ</t>
    </rPh>
    <rPh sb="2" eb="4">
      <t>シュルイ</t>
    </rPh>
    <phoneticPr fontId="1"/>
  </si>
  <si>
    <t>作業種類_12</t>
    <rPh sb="0" eb="2">
      <t>サギョウ</t>
    </rPh>
    <rPh sb="2" eb="4">
      <t>シュルイ</t>
    </rPh>
    <phoneticPr fontId="1"/>
  </si>
  <si>
    <t>作業種類_13</t>
    <rPh sb="0" eb="2">
      <t>サギョウ</t>
    </rPh>
    <rPh sb="2" eb="4">
      <t>シュルイ</t>
    </rPh>
    <phoneticPr fontId="1"/>
  </si>
  <si>
    <t>作業種類_14</t>
    <rPh sb="0" eb="2">
      <t>サギョウ</t>
    </rPh>
    <rPh sb="2" eb="4">
      <t>シュルイ</t>
    </rPh>
    <phoneticPr fontId="1"/>
  </si>
  <si>
    <t>作業種類_15</t>
    <rPh sb="0" eb="2">
      <t>サギョウ</t>
    </rPh>
    <rPh sb="2" eb="4">
      <t>シュルイ</t>
    </rPh>
    <phoneticPr fontId="1"/>
  </si>
  <si>
    <t>作業種類_16</t>
    <rPh sb="0" eb="2">
      <t>サギョウ</t>
    </rPh>
    <rPh sb="2" eb="4">
      <t>シュルイ</t>
    </rPh>
    <phoneticPr fontId="1"/>
  </si>
  <si>
    <t>作業種類_17</t>
    <rPh sb="0" eb="2">
      <t>サギョウ</t>
    </rPh>
    <rPh sb="2" eb="4">
      <t>シュルイ</t>
    </rPh>
    <phoneticPr fontId="1"/>
  </si>
  <si>
    <t>作業種類_18</t>
    <rPh sb="0" eb="2">
      <t>サギョウ</t>
    </rPh>
    <rPh sb="2" eb="4">
      <t>シュルイ</t>
    </rPh>
    <phoneticPr fontId="1"/>
  </si>
  <si>
    <t>作業種類_19</t>
    <rPh sb="0" eb="2">
      <t>サギョウ</t>
    </rPh>
    <rPh sb="2" eb="4">
      <t>シュルイ</t>
    </rPh>
    <phoneticPr fontId="1"/>
  </si>
  <si>
    <t>作業種類_20</t>
    <rPh sb="0" eb="2">
      <t>サギョウ</t>
    </rPh>
    <rPh sb="2" eb="4">
      <t>シュルイ</t>
    </rPh>
    <phoneticPr fontId="1"/>
  </si>
  <si>
    <t>担当の名前</t>
    <rPh sb="0" eb="2">
      <t>タントウ</t>
    </rPh>
    <rPh sb="3" eb="5">
      <t>ナマエ</t>
    </rPh>
    <phoneticPr fontId="1"/>
  </si>
  <si>
    <t>人数</t>
    <rPh sb="0" eb="2">
      <t>ニンズウ</t>
    </rPh>
    <phoneticPr fontId="1"/>
  </si>
  <si>
    <t>作業箇所の種類</t>
    <rPh sb="0" eb="2">
      <t>サギョウ</t>
    </rPh>
    <rPh sb="2" eb="4">
      <t>カショ</t>
    </rPh>
    <rPh sb="5" eb="7">
      <t>シュルイ</t>
    </rPh>
    <phoneticPr fontId="1"/>
  </si>
  <si>
    <t>変電所、開閉所、発電所</t>
    <rPh sb="0" eb="3">
      <t>ヘンデンショ</t>
    </rPh>
    <rPh sb="4" eb="6">
      <t>カイヘイ</t>
    </rPh>
    <rPh sb="6" eb="7">
      <t>ショ</t>
    </rPh>
    <rPh sb="8" eb="10">
      <t>ハツデン</t>
    </rPh>
    <rPh sb="10" eb="11">
      <t>ショ</t>
    </rPh>
    <phoneticPr fontId="1"/>
  </si>
  <si>
    <t>作業箇所_1</t>
    <rPh sb="0" eb="4">
      <t>サギョウカショ</t>
    </rPh>
    <phoneticPr fontId="1"/>
  </si>
  <si>
    <t>猪飼野</t>
  </si>
  <si>
    <t>変電所名</t>
    <rPh sb="0" eb="3">
      <t>ヘンデンショ</t>
    </rPh>
    <rPh sb="3" eb="4">
      <t>メイ</t>
    </rPh>
    <phoneticPr fontId="1"/>
  </si>
  <si>
    <t>作業箇所_2</t>
    <rPh sb="0" eb="4">
      <t>サギョウカショ</t>
    </rPh>
    <phoneticPr fontId="1"/>
  </si>
  <si>
    <t>作業箇所_3</t>
    <rPh sb="0" eb="4">
      <t>サギョウカショ</t>
    </rPh>
    <phoneticPr fontId="1"/>
  </si>
  <si>
    <t>作業箇所_4</t>
    <rPh sb="0" eb="4">
      <t>サギョウカショ</t>
    </rPh>
    <phoneticPr fontId="1"/>
  </si>
  <si>
    <t>作業箇所_5</t>
    <rPh sb="0" eb="4">
      <t>サギョウカショ</t>
    </rPh>
    <phoneticPr fontId="1"/>
  </si>
  <si>
    <t>作業箇所_6</t>
    <rPh sb="0" eb="4">
      <t>サギョウカショ</t>
    </rPh>
    <phoneticPr fontId="1"/>
  </si>
  <si>
    <t>作業箇所_7</t>
    <rPh sb="0" eb="4">
      <t>サギョウカショ</t>
    </rPh>
    <phoneticPr fontId="1"/>
  </si>
  <si>
    <t>作業箇所_8</t>
    <rPh sb="0" eb="4">
      <t>サギョウカショ</t>
    </rPh>
    <phoneticPr fontId="1"/>
  </si>
  <si>
    <t>作業箇所_9</t>
    <rPh sb="0" eb="4">
      <t>サギョウカショ</t>
    </rPh>
    <phoneticPr fontId="1"/>
  </si>
  <si>
    <t>作業箇所_10</t>
    <rPh sb="0" eb="4">
      <t>サギョウカショ</t>
    </rPh>
    <phoneticPr fontId="1"/>
  </si>
  <si>
    <t>作業箇所_11</t>
    <rPh sb="0" eb="4">
      <t>サギョウカショ</t>
    </rPh>
    <phoneticPr fontId="1"/>
  </si>
  <si>
    <t>作業箇所_12</t>
    <rPh sb="0" eb="4">
      <t>サギョウカショ</t>
    </rPh>
    <phoneticPr fontId="1"/>
  </si>
  <si>
    <t>作業箇所_13</t>
    <rPh sb="0" eb="4">
      <t>サギョウカショ</t>
    </rPh>
    <phoneticPr fontId="1"/>
  </si>
  <si>
    <t>作業箇所_14</t>
    <rPh sb="0" eb="4">
      <t>サギョウカショ</t>
    </rPh>
    <phoneticPr fontId="1"/>
  </si>
  <si>
    <t>作業箇所_15</t>
    <rPh sb="0" eb="4">
      <t>サギョウカショ</t>
    </rPh>
    <phoneticPr fontId="1"/>
  </si>
  <si>
    <t>作業箇所_16</t>
    <rPh sb="0" eb="4">
      <t>サギョウカショ</t>
    </rPh>
    <phoneticPr fontId="1"/>
  </si>
  <si>
    <t>作業箇所_17</t>
    <rPh sb="0" eb="4">
      <t>サギョウカショ</t>
    </rPh>
    <phoneticPr fontId="1"/>
  </si>
  <si>
    <t>作業箇所_18</t>
    <rPh sb="0" eb="4">
      <t>サギョウカショ</t>
    </rPh>
    <phoneticPr fontId="1"/>
  </si>
  <si>
    <t>作業箇所_19</t>
    <rPh sb="0" eb="4">
      <t>サギョウカショ</t>
    </rPh>
    <phoneticPr fontId="1"/>
  </si>
  <si>
    <t>作業箇所_20</t>
    <rPh sb="0" eb="4">
      <t>サギョウカショ</t>
    </rPh>
    <phoneticPr fontId="1"/>
  </si>
  <si>
    <t>工程表Excelファイル_1</t>
    <rPh sb="0" eb="3">
      <t>コウテイヒョウ</t>
    </rPh>
    <phoneticPr fontId="1"/>
  </si>
  <si>
    <t>ファイルパス</t>
    <phoneticPr fontId="1"/>
  </si>
  <si>
    <t>全て or 空白 or ファイルパス</t>
    <rPh sb="0" eb="1">
      <t>スベ</t>
    </rPh>
    <rPh sb="6" eb="8">
      <t>クウハク</t>
    </rPh>
    <phoneticPr fontId="1"/>
  </si>
  <si>
    <t>工程表Excelファイル_2</t>
    <rPh sb="0" eb="3">
      <t>コウテイヒョウ</t>
    </rPh>
    <phoneticPr fontId="1"/>
  </si>
  <si>
    <t>工程表Excelファイル_3</t>
    <rPh sb="0" eb="3">
      <t>コウテイヒョウ</t>
    </rPh>
    <phoneticPr fontId="1"/>
  </si>
  <si>
    <t>工程表Excelファイル_4</t>
    <rPh sb="0" eb="3">
      <t>コウテイヒョウ</t>
    </rPh>
    <phoneticPr fontId="1"/>
  </si>
  <si>
    <t>工程表Excelファイル_5</t>
    <rPh sb="0" eb="3">
      <t>コウテイヒョウ</t>
    </rPh>
    <phoneticPr fontId="1"/>
  </si>
  <si>
    <t>工程表Excelファイル_6</t>
    <rPh sb="0" eb="3">
      <t>コウテイヒョウ</t>
    </rPh>
    <phoneticPr fontId="1"/>
  </si>
  <si>
    <t>工程表Excelファイル_7</t>
    <rPh sb="0" eb="3">
      <t>コウテイヒョウ</t>
    </rPh>
    <phoneticPr fontId="1"/>
  </si>
  <si>
    <t>工程表Excelファイル_8</t>
    <rPh sb="0" eb="3">
      <t>コウテイヒョウ</t>
    </rPh>
    <phoneticPr fontId="1"/>
  </si>
  <si>
    <t>工程表Excelファイル_9</t>
    <rPh sb="0" eb="3">
      <t>コウテイヒョウ</t>
    </rPh>
    <phoneticPr fontId="1"/>
  </si>
  <si>
    <t>工程表Excelファイル_10</t>
    <rPh sb="0" eb="3">
      <t>コウテイヒョウ</t>
    </rPh>
    <phoneticPr fontId="1"/>
  </si>
  <si>
    <t>工程表Excelファイル_11</t>
    <rPh sb="0" eb="3">
      <t>コウテイヒョウ</t>
    </rPh>
    <phoneticPr fontId="1"/>
  </si>
  <si>
    <t>工程表Excelファイル_12</t>
    <rPh sb="0" eb="3">
      <t>コウテイヒョウ</t>
    </rPh>
    <phoneticPr fontId="1"/>
  </si>
  <si>
    <t>工程表Excelファイル_13</t>
    <rPh sb="0" eb="3">
      <t>コウテイヒョウ</t>
    </rPh>
    <phoneticPr fontId="1"/>
  </si>
  <si>
    <t>工程表Excelファイル_14</t>
    <rPh sb="0" eb="3">
      <t>コウテイヒョウ</t>
    </rPh>
    <phoneticPr fontId="1"/>
  </si>
  <si>
    <t>工程表Excelファイル_15</t>
    <rPh sb="0" eb="3">
      <t>コウテイヒョウ</t>
    </rPh>
    <phoneticPr fontId="1"/>
  </si>
  <si>
    <t>工程表Excelファイル_16</t>
    <rPh sb="0" eb="3">
      <t>コウテイヒョウ</t>
    </rPh>
    <phoneticPr fontId="1"/>
  </si>
  <si>
    <t>工程表Excelファイル_17</t>
    <rPh sb="0" eb="3">
      <t>コウテイヒョウ</t>
    </rPh>
    <phoneticPr fontId="1"/>
  </si>
  <si>
    <t>工程表Excelファイル_18</t>
    <rPh sb="0" eb="3">
      <t>コウテイヒョウ</t>
    </rPh>
    <phoneticPr fontId="1"/>
  </si>
  <si>
    <t>工程表Excelファイル_19</t>
    <rPh sb="0" eb="3">
      <t>コウテイヒョウ</t>
    </rPh>
    <phoneticPr fontId="1"/>
  </si>
  <si>
    <t>工程表Excelファイル_20</t>
    <rPh sb="0" eb="3">
      <t>コウテイヒョウ</t>
    </rPh>
    <phoneticPr fontId="1"/>
  </si>
  <si>
    <t>工程表Excelファイル_21</t>
    <rPh sb="0" eb="3">
      <t>コウテイヒョウ</t>
    </rPh>
    <phoneticPr fontId="1"/>
  </si>
  <si>
    <t>工程表Excelファイル_22</t>
    <rPh sb="0" eb="3">
      <t>コウテイヒョウ</t>
    </rPh>
    <phoneticPr fontId="1"/>
  </si>
  <si>
    <t>工程表Excelファイル_23</t>
    <rPh sb="0" eb="3">
      <t>コウテイヒョウ</t>
    </rPh>
    <phoneticPr fontId="1"/>
  </si>
  <si>
    <t>工程表Excelファイル_24</t>
    <rPh sb="0" eb="3">
      <t>コウテイヒョウ</t>
    </rPh>
    <phoneticPr fontId="1"/>
  </si>
  <si>
    <t>工程表Excelファイル_25</t>
    <rPh sb="0" eb="3">
      <t>コウテイヒョウ</t>
    </rPh>
    <phoneticPr fontId="1"/>
  </si>
  <si>
    <t>工程表Excelファイル_26</t>
    <rPh sb="0" eb="3">
      <t>コウテイヒョウ</t>
    </rPh>
    <phoneticPr fontId="1"/>
  </si>
  <si>
    <t>工程表Excelファイル_27</t>
    <rPh sb="0" eb="3">
      <t>コウテイヒョウ</t>
    </rPh>
    <phoneticPr fontId="1"/>
  </si>
  <si>
    <t>工程表Excelファイル_28</t>
    <rPh sb="0" eb="3">
      <t>コウテイヒョウ</t>
    </rPh>
    <phoneticPr fontId="1"/>
  </si>
  <si>
    <t>工程表Excelファイル_29</t>
    <rPh sb="0" eb="3">
      <t>コウテイヒョウ</t>
    </rPh>
    <phoneticPr fontId="1"/>
  </si>
  <si>
    <t>工程表Excelファイル_30</t>
    <rPh sb="0" eb="3">
      <t>コウテイヒョウ</t>
    </rPh>
    <phoneticPr fontId="1"/>
  </si>
  <si>
    <t>工程表Excelファイル_31</t>
    <rPh sb="0" eb="3">
      <t>コウテイヒョウ</t>
    </rPh>
    <phoneticPr fontId="1"/>
  </si>
  <si>
    <t>工程表Excelファイル_32</t>
    <rPh sb="0" eb="3">
      <t>コウテイヒョウ</t>
    </rPh>
    <phoneticPr fontId="1"/>
  </si>
  <si>
    <t>工程表Excelファイル_33</t>
    <rPh sb="0" eb="3">
      <t>コウテイヒョウ</t>
    </rPh>
    <phoneticPr fontId="1"/>
  </si>
  <si>
    <t>工程表Excelファイル_34</t>
    <rPh sb="0" eb="3">
      <t>コウテイヒョウ</t>
    </rPh>
    <phoneticPr fontId="1"/>
  </si>
  <si>
    <t>工程表Excelファイル_35</t>
    <rPh sb="0" eb="3">
      <t>コウテイヒョウ</t>
    </rPh>
    <phoneticPr fontId="1"/>
  </si>
  <si>
    <t>工程表Excelファイル_36</t>
    <rPh sb="0" eb="3">
      <t>コウテイヒョウ</t>
    </rPh>
    <phoneticPr fontId="1"/>
  </si>
  <si>
    <t>工程表Excelファイル_37</t>
    <rPh sb="0" eb="3">
      <t>コウテイヒョウ</t>
    </rPh>
    <phoneticPr fontId="1"/>
  </si>
  <si>
    <t>工程表Excelファイル_38</t>
    <rPh sb="0" eb="3">
      <t>コウテイヒョウ</t>
    </rPh>
    <phoneticPr fontId="1"/>
  </si>
  <si>
    <t>工程表Excelファイル_39</t>
    <rPh sb="0" eb="3">
      <t>コウテイヒョウ</t>
    </rPh>
    <phoneticPr fontId="1"/>
  </si>
  <si>
    <t>工程表Excelファイル_40</t>
    <rPh sb="0" eb="3">
      <t>コウテイヒョウ</t>
    </rPh>
    <phoneticPr fontId="1"/>
  </si>
  <si>
    <t>工程表Excelファイル_41</t>
    <rPh sb="0" eb="3">
      <t>コウテイヒョウ</t>
    </rPh>
    <phoneticPr fontId="1"/>
  </si>
  <si>
    <t>工程表Excelファイル_42</t>
    <rPh sb="0" eb="3">
      <t>コウテイヒョウ</t>
    </rPh>
    <phoneticPr fontId="1"/>
  </si>
  <si>
    <t>工程表Excelファイル_43</t>
    <rPh sb="0" eb="3">
      <t>コウテイヒョウ</t>
    </rPh>
    <phoneticPr fontId="1"/>
  </si>
  <si>
    <t>工程表Excelファイル_44</t>
    <rPh sb="0" eb="3">
      <t>コウテイヒョウ</t>
    </rPh>
    <phoneticPr fontId="1"/>
  </si>
  <si>
    <t>工程表Excelファイル_45</t>
    <rPh sb="0" eb="3">
      <t>コウテイヒョウ</t>
    </rPh>
    <phoneticPr fontId="1"/>
  </si>
  <si>
    <t>工程表Excelファイル_46</t>
    <rPh sb="0" eb="3">
      <t>コウテイヒョウ</t>
    </rPh>
    <phoneticPr fontId="1"/>
  </si>
  <si>
    <t>工程表Excelファイル_47</t>
    <rPh sb="0" eb="3">
      <t>コウテイヒョウ</t>
    </rPh>
    <phoneticPr fontId="1"/>
  </si>
  <si>
    <t>工程表Excelファイル_48</t>
    <rPh sb="0" eb="3">
      <t>コウテイヒョウ</t>
    </rPh>
    <phoneticPr fontId="1"/>
  </si>
  <si>
    <t>工程表Excelファイル_49</t>
    <rPh sb="0" eb="3">
      <t>コウテイヒョウ</t>
    </rPh>
    <phoneticPr fontId="1"/>
  </si>
  <si>
    <t>工程表Excelファイル_50</t>
    <rPh sb="0" eb="3">
      <t>コウテイヒョウ</t>
    </rPh>
    <phoneticPr fontId="1"/>
  </si>
  <si>
    <t>工程表Excelファイル_51</t>
    <rPh sb="0" eb="3">
      <t>コウテイヒョウ</t>
    </rPh>
    <phoneticPr fontId="1"/>
  </si>
  <si>
    <t>工程表Excelファイル_52</t>
    <rPh sb="0" eb="3">
      <t>コウテイヒョウ</t>
    </rPh>
    <phoneticPr fontId="1"/>
  </si>
  <si>
    <t>工程表Excelファイル_53</t>
    <rPh sb="0" eb="3">
      <t>コウテイヒョウ</t>
    </rPh>
    <phoneticPr fontId="1"/>
  </si>
  <si>
    <t>工程表Excelファイル_54</t>
    <rPh sb="0" eb="3">
      <t>コウテイヒョウ</t>
    </rPh>
    <phoneticPr fontId="1"/>
  </si>
  <si>
    <t>工程表Excelファイル_55</t>
    <rPh sb="0" eb="3">
      <t>コウテイヒョウ</t>
    </rPh>
    <phoneticPr fontId="1"/>
  </si>
  <si>
    <t>工程表Excelファイル_56</t>
    <rPh sb="0" eb="3">
      <t>コウテイヒョウ</t>
    </rPh>
    <phoneticPr fontId="1"/>
  </si>
  <si>
    <t>工程表Excelファイル_57</t>
    <rPh sb="0" eb="3">
      <t>コウテイヒョウ</t>
    </rPh>
    <phoneticPr fontId="1"/>
  </si>
  <si>
    <t>工程表Excelファイル_58</t>
    <rPh sb="0" eb="3">
      <t>コウテイヒョウ</t>
    </rPh>
    <phoneticPr fontId="1"/>
  </si>
  <si>
    <t>工程表Excelファイル_59</t>
    <rPh sb="0" eb="3">
      <t>コウテイヒョウ</t>
    </rPh>
    <phoneticPr fontId="1"/>
  </si>
  <si>
    <t>工程表Excelファイル_60</t>
    <rPh sb="0" eb="3">
      <t>コウテイヒョウ</t>
    </rPh>
    <phoneticPr fontId="1"/>
  </si>
  <si>
    <t>工程表Excelファイル_61</t>
    <rPh sb="0" eb="3">
      <t>コウテイヒョウ</t>
    </rPh>
    <phoneticPr fontId="1"/>
  </si>
  <si>
    <t>工程表Excelファイル_62</t>
    <rPh sb="0" eb="3">
      <t>コウテイヒョウ</t>
    </rPh>
    <phoneticPr fontId="1"/>
  </si>
  <si>
    <t>工程表Excelファイル_63</t>
    <rPh sb="0" eb="3">
      <t>コウテイヒョウ</t>
    </rPh>
    <phoneticPr fontId="1"/>
  </si>
  <si>
    <t>工程表Excelファイル_64</t>
    <rPh sb="0" eb="3">
      <t>コウテイヒョウ</t>
    </rPh>
    <phoneticPr fontId="1"/>
  </si>
  <si>
    <t>工程表Excelファイル_65</t>
    <rPh sb="0" eb="3">
      <t>コウテイヒョウ</t>
    </rPh>
    <phoneticPr fontId="1"/>
  </si>
  <si>
    <t>工程表Excelファイル_66</t>
    <rPh sb="0" eb="3">
      <t>コウテイヒョウ</t>
    </rPh>
    <phoneticPr fontId="1"/>
  </si>
  <si>
    <t>工程表Excelファイル_67</t>
    <rPh sb="0" eb="3">
      <t>コウテイヒョウ</t>
    </rPh>
    <phoneticPr fontId="1"/>
  </si>
  <si>
    <t>工程表Excelファイル_68</t>
    <rPh sb="0" eb="3">
      <t>コウテイヒョウ</t>
    </rPh>
    <phoneticPr fontId="1"/>
  </si>
  <si>
    <t>工程表Excelファイル_69</t>
    <rPh sb="0" eb="3">
      <t>コウテイヒョウ</t>
    </rPh>
    <phoneticPr fontId="1"/>
  </si>
  <si>
    <t>工程表Excelファイル_70</t>
    <rPh sb="0" eb="3">
      <t>コウテイヒョウ</t>
    </rPh>
    <phoneticPr fontId="1"/>
  </si>
  <si>
    <t>工程表Excelファイル_71</t>
    <rPh sb="0" eb="3">
      <t>コウテイヒョウ</t>
    </rPh>
    <phoneticPr fontId="1"/>
  </si>
  <si>
    <t>工程表Excelファイル_72</t>
    <rPh sb="0" eb="3">
      <t>コウテイヒョウ</t>
    </rPh>
    <phoneticPr fontId="1"/>
  </si>
  <si>
    <t>工程表Excelファイル_73</t>
    <rPh sb="0" eb="3">
      <t>コウテイヒョウ</t>
    </rPh>
    <phoneticPr fontId="1"/>
  </si>
  <si>
    <t>工程表Excelファイル_74</t>
    <rPh sb="0" eb="3">
      <t>コウテイヒョウ</t>
    </rPh>
    <phoneticPr fontId="1"/>
  </si>
  <si>
    <t>工程表Excelファイル_75</t>
    <rPh sb="0" eb="3">
      <t>コウテイヒョウ</t>
    </rPh>
    <phoneticPr fontId="1"/>
  </si>
  <si>
    <t>工程表Excelファイル_76</t>
    <rPh sb="0" eb="3">
      <t>コウテイヒョウ</t>
    </rPh>
    <phoneticPr fontId="1"/>
  </si>
  <si>
    <t>工程表Excelファイル_77</t>
    <rPh sb="0" eb="3">
      <t>コウテイヒョウ</t>
    </rPh>
    <phoneticPr fontId="1"/>
  </si>
  <si>
    <t>工程表Excelファイル_78</t>
    <rPh sb="0" eb="3">
      <t>コウテイヒョウ</t>
    </rPh>
    <phoneticPr fontId="1"/>
  </si>
  <si>
    <t>工程表Excelファイル_79</t>
    <rPh sb="0" eb="3">
      <t>コウテイヒョウ</t>
    </rPh>
    <phoneticPr fontId="1"/>
  </si>
  <si>
    <t>工程表Excelファイル_80</t>
    <rPh sb="0" eb="3">
      <t>コウテイヒョウ</t>
    </rPh>
    <phoneticPr fontId="1"/>
  </si>
  <si>
    <t>工程表Excelファイル_81</t>
    <rPh sb="0" eb="3">
      <t>コウテイヒョウ</t>
    </rPh>
    <phoneticPr fontId="1"/>
  </si>
  <si>
    <t>工程表Excelファイル_82</t>
    <rPh sb="0" eb="3">
      <t>コウテイヒョウ</t>
    </rPh>
    <phoneticPr fontId="1"/>
  </si>
  <si>
    <t>工程表Excelファイル_83</t>
    <rPh sb="0" eb="3">
      <t>コウテイヒョウ</t>
    </rPh>
    <phoneticPr fontId="1"/>
  </si>
  <si>
    <t>工程表Excelファイル_84</t>
    <rPh sb="0" eb="3">
      <t>コウテイヒョウ</t>
    </rPh>
    <phoneticPr fontId="1"/>
  </si>
  <si>
    <t>工程表Excelファイル_85</t>
    <rPh sb="0" eb="3">
      <t>コウテイヒョウ</t>
    </rPh>
    <phoneticPr fontId="1"/>
  </si>
  <si>
    <t>工程表Excelファイル_86</t>
    <rPh sb="0" eb="3">
      <t>コウテイヒョウ</t>
    </rPh>
    <phoneticPr fontId="1"/>
  </si>
  <si>
    <t>工程表Excelファイル_87</t>
    <rPh sb="0" eb="3">
      <t>コウテイヒョウ</t>
    </rPh>
    <phoneticPr fontId="1"/>
  </si>
  <si>
    <t>工程表Excelファイル_88</t>
    <rPh sb="0" eb="3">
      <t>コウテイヒョウ</t>
    </rPh>
    <phoneticPr fontId="1"/>
  </si>
  <si>
    <t>工程表Excelファイル_89</t>
    <rPh sb="0" eb="3">
      <t>コウテイヒョウ</t>
    </rPh>
    <phoneticPr fontId="1"/>
  </si>
  <si>
    <t>工程表Excelファイル_90</t>
    <rPh sb="0" eb="3">
      <t>コウテイヒョウ</t>
    </rPh>
    <phoneticPr fontId="1"/>
  </si>
  <si>
    <t>工程表Excelファイル_91</t>
    <rPh sb="0" eb="3">
      <t>コウテイヒョウ</t>
    </rPh>
    <phoneticPr fontId="1"/>
  </si>
  <si>
    <t>工程表Excelファイル_92</t>
    <rPh sb="0" eb="3">
      <t>コウテイヒョウ</t>
    </rPh>
    <phoneticPr fontId="1"/>
  </si>
  <si>
    <t>工程表Excelファイル_93</t>
    <rPh sb="0" eb="3">
      <t>コウテイヒョウ</t>
    </rPh>
    <phoneticPr fontId="1"/>
  </si>
  <si>
    <t>工程表Excelファイル_94</t>
    <rPh sb="0" eb="3">
      <t>コウテイヒョウ</t>
    </rPh>
    <phoneticPr fontId="1"/>
  </si>
  <si>
    <t>工程表Excelファイル_95</t>
    <rPh sb="0" eb="3">
      <t>コウテイヒョウ</t>
    </rPh>
    <phoneticPr fontId="1"/>
  </si>
  <si>
    <t>工程表Excelファイル_96</t>
    <rPh sb="0" eb="3">
      <t>コウテイヒョウ</t>
    </rPh>
    <phoneticPr fontId="1"/>
  </si>
  <si>
    <t>工程表Excelファイル_97</t>
    <rPh sb="0" eb="3">
      <t>コウテイヒョウ</t>
    </rPh>
    <phoneticPr fontId="1"/>
  </si>
  <si>
    <t>工程表Excelファイル_98</t>
    <rPh sb="0" eb="3">
      <t>コウテイヒョウ</t>
    </rPh>
    <phoneticPr fontId="1"/>
  </si>
  <si>
    <t>工程表Excelファイル_99</t>
    <rPh sb="0" eb="3">
      <t>コウテイヒョウ</t>
    </rPh>
    <phoneticPr fontId="1"/>
  </si>
  <si>
    <t>工程表Excelファイル_100</t>
    <rPh sb="0" eb="3">
      <t>コウテイヒョウ</t>
    </rPh>
    <phoneticPr fontId="1"/>
  </si>
  <si>
    <t>現工程表</t>
    <rPh sb="0" eb="1">
      <t>ゲン</t>
    </rPh>
    <rPh sb="1" eb="4">
      <t>コウテイヒョウ</t>
    </rPh>
    <phoneticPr fontId="1"/>
  </si>
  <si>
    <t>旧工程表</t>
    <rPh sb="0" eb="1">
      <t>キュウ</t>
    </rPh>
    <rPh sb="1" eb="4">
      <t>コウテイヒョウ</t>
    </rPh>
    <phoneticPr fontId="1"/>
  </si>
  <si>
    <t>オフセット</t>
    <phoneticPr fontId="1"/>
  </si>
  <si>
    <t>0,0</t>
    <phoneticPr fontId="1"/>
  </si>
  <si>
    <t>1,0</t>
    <phoneticPr fontId="1"/>
  </si>
  <si>
    <t>行, 列</t>
    <rPh sb="0" eb="1">
      <t>ギョウ</t>
    </rPh>
    <rPh sb="3" eb="4">
      <t>レツ</t>
    </rPh>
    <phoneticPr fontId="1"/>
  </si>
  <si>
    <t>必須</t>
    <rPh sb="0" eb="2">
      <t>ヒッス</t>
    </rPh>
    <phoneticPr fontId="1"/>
  </si>
  <si>
    <t>作業名1</t>
    <phoneticPr fontId="1"/>
  </si>
  <si>
    <t>2,0</t>
    <phoneticPr fontId="1"/>
  </si>
  <si>
    <t>作業名2(旧：制通部門)</t>
    <rPh sb="5" eb="6">
      <t>キュウ</t>
    </rPh>
    <phoneticPr fontId="1"/>
  </si>
  <si>
    <t>3,0</t>
    <phoneticPr fontId="1"/>
  </si>
  <si>
    <t>担当：</t>
    <phoneticPr fontId="1"/>
  </si>
  <si>
    <t>4,0</t>
    <phoneticPr fontId="1"/>
  </si>
  <si>
    <t>固定文字列</t>
    <rPh sb="0" eb="2">
      <t>コテイ</t>
    </rPh>
    <rPh sb="2" eb="5">
      <t>モジレツ</t>
    </rPh>
    <phoneticPr fontId="1"/>
  </si>
  <si>
    <t>4,2</t>
    <phoneticPr fontId="1"/>
  </si>
  <si>
    <t>5,2</t>
    <phoneticPr fontId="1"/>
  </si>
  <si>
    <t>5,0</t>
    <phoneticPr fontId="1"/>
  </si>
  <si>
    <t>自主など</t>
    <rPh sb="0" eb="2">
      <t>ジシュ</t>
    </rPh>
    <phoneticPr fontId="1"/>
  </si>
  <si>
    <t>1,2</t>
    <phoneticPr fontId="1"/>
  </si>
  <si>
    <t>6,0</t>
    <phoneticPr fontId="1"/>
  </si>
  <si>
    <t>旧工程表のみの要素</t>
    <rPh sb="0" eb="1">
      <t>キュウ</t>
    </rPh>
    <rPh sb="1" eb="4">
      <t>コウテイヒョウ</t>
    </rPh>
    <rPh sb="7" eb="9">
      <t>ヨウソ</t>
    </rPh>
    <phoneticPr fontId="1"/>
  </si>
  <si>
    <t>旧：その他（作業名3(制通部門) or 開始時間）</t>
    <rPh sb="0" eb="1">
      <t>キュウ</t>
    </rPh>
    <rPh sb="6" eb="8">
      <t>サギョウ</t>
    </rPh>
    <rPh sb="8" eb="9">
      <t>メイ</t>
    </rPh>
    <rPh sb="20" eb="22">
      <t>カイシ</t>
    </rPh>
    <rPh sb="22" eb="24">
      <t>ジカン</t>
    </rPh>
    <phoneticPr fontId="1"/>
  </si>
  <si>
    <t>終了時間</t>
    <rPh sb="0" eb="2">
      <t>シュウリョウ</t>
    </rPh>
    <rPh sb="2" eb="4">
      <t>ジカン</t>
    </rPh>
    <phoneticPr fontId="1"/>
  </si>
  <si>
    <t>左：制御、右：変電</t>
    <rPh sb="0" eb="1">
      <t>ヒダリ</t>
    </rPh>
    <rPh sb="2" eb="4">
      <t>セイギョ</t>
    </rPh>
    <rPh sb="5" eb="6">
      <t>ミギ</t>
    </rPh>
    <rPh sb="7" eb="9">
      <t>ヘンデン</t>
    </rPh>
    <phoneticPr fontId="1"/>
  </si>
  <si>
    <t>抽出結果出力シートのフォーマット設定</t>
    <phoneticPr fontId="1"/>
  </si>
  <si>
    <t>ヘッダー行数</t>
    <rPh sb="4" eb="5">
      <t>ギョウ</t>
    </rPh>
    <rPh sb="5" eb="6">
      <t>カズ</t>
    </rPh>
    <phoneticPr fontId="1"/>
  </si>
  <si>
    <t>ヘッダー行_1</t>
    <rPh sb="4" eb="5">
      <t>ギョウ</t>
    </rPh>
    <phoneticPr fontId="1"/>
  </si>
  <si>
    <t>ヘッダー行_2</t>
    <rPh sb="4" eb="5">
      <t>ギョウ</t>
    </rPh>
    <phoneticPr fontId="1"/>
  </si>
  <si>
    <t>ヘッダー行_3</t>
    <rPh sb="4" eb="5">
      <t>ギョウ</t>
    </rPh>
    <phoneticPr fontId="1"/>
  </si>
  <si>
    <t>ヘッダー行_4</t>
    <rPh sb="4" eb="5">
      <t>ギョウ</t>
    </rPh>
    <phoneticPr fontId="1"/>
  </si>
  <si>
    <t>ヘッダー行_5</t>
    <rPh sb="4" eb="5">
      <t>ギョウ</t>
    </rPh>
    <phoneticPr fontId="1"/>
  </si>
  <si>
    <t>ヘッダー行_6</t>
    <rPh sb="4" eb="5">
      <t>ギョウ</t>
    </rPh>
    <phoneticPr fontId="1"/>
  </si>
  <si>
    <t>ヘッダー行_7</t>
    <rPh sb="4" eb="5">
      <t>ギョウ</t>
    </rPh>
    <phoneticPr fontId="1"/>
  </si>
  <si>
    <t>ヘッダー行_8</t>
    <rPh sb="4" eb="5">
      <t>ギョウ</t>
    </rPh>
    <phoneticPr fontId="1"/>
  </si>
  <si>
    <t>ヘッダー行_9</t>
    <rPh sb="4" eb="5">
      <t>ギョウ</t>
    </rPh>
    <phoneticPr fontId="1"/>
  </si>
  <si>
    <t>ヘッダー行_10</t>
    <rPh sb="4" eb="5">
      <t>ギョウ</t>
    </rPh>
    <phoneticPr fontId="1"/>
  </si>
  <si>
    <t>制通部門</t>
    <rPh sb="2" eb="4">
      <t>ブモン</t>
    </rPh>
    <phoneticPr fontId="1"/>
  </si>
  <si>
    <t>補修部門</t>
    <rPh sb="0" eb="2">
      <t>ホシュウ</t>
    </rPh>
    <rPh sb="2" eb="4">
      <t>ブモン</t>
    </rPh>
    <phoneticPr fontId="1"/>
  </si>
  <si>
    <t>点検種類</t>
    <rPh sb="0" eb="2">
      <t>テンケン</t>
    </rPh>
    <rPh sb="2" eb="4">
      <t>シュルイ</t>
    </rPh>
    <phoneticPr fontId="1"/>
  </si>
  <si>
    <t>ＯＣ</t>
  </si>
  <si>
    <t>１ＴｒＢＲＹ</t>
  </si>
  <si>
    <t>(自主)</t>
  </si>
  <si>
    <t>ＰＷ</t>
  </si>
  <si>
    <t>２ＴｒＢＲＹ</t>
  </si>
  <si>
    <t>(総合)</t>
  </si>
  <si>
    <t>光ＰＷ</t>
  </si>
  <si>
    <t>３ＴｒＢＲＹ</t>
  </si>
  <si>
    <t>(測定)</t>
  </si>
  <si>
    <t>Ｃ８７</t>
  </si>
  <si>
    <t>４ＴｒＢＲＹ</t>
  </si>
  <si>
    <t>(受入)</t>
  </si>
  <si>
    <t>79LK</t>
  </si>
  <si>
    <t>５ＴｒＢＲＹ</t>
  </si>
  <si>
    <t>(自：測)</t>
  </si>
  <si>
    <t>Ｊ２７</t>
  </si>
  <si>
    <t>６ＴｒＢＲＹ</t>
  </si>
  <si>
    <t>(自：総)</t>
  </si>
  <si>
    <t>BP+J27</t>
  </si>
  <si>
    <t>７ＴｒＢＲＹ</t>
  </si>
  <si>
    <t>(自：受)</t>
  </si>
  <si>
    <t>KBP+Ｊ27</t>
  </si>
  <si>
    <t>８ＴｒＢＲＹ</t>
  </si>
  <si>
    <t>(責：測)</t>
  </si>
  <si>
    <t>転送遮断85T</t>
  </si>
  <si>
    <t>９ＴｒＢＲＹ</t>
  </si>
  <si>
    <t>(責：総)</t>
  </si>
  <si>
    <t>ＰＣＭ</t>
  </si>
  <si>
    <t>ＳｈａＲＹ</t>
  </si>
  <si>
    <t>(立会)</t>
  </si>
  <si>
    <t xml:space="preserve">ＢＰ </t>
  </si>
  <si>
    <t>ＳＣＲＹ</t>
  </si>
  <si>
    <t>技</t>
  </si>
  <si>
    <t>ＤＣａ</t>
  </si>
  <si>
    <t>ＬＲＲＹ</t>
  </si>
  <si>
    <t>制</t>
  </si>
  <si>
    <t>多端子</t>
  </si>
  <si>
    <t>ＮＧＲＲＹ</t>
  </si>
  <si>
    <t>電</t>
  </si>
  <si>
    <t>簡易ＢＰ</t>
  </si>
  <si>
    <t/>
  </si>
  <si>
    <t>(総．測)</t>
  </si>
  <si>
    <t>人工接地</t>
  </si>
  <si>
    <t>(責任)</t>
  </si>
  <si>
    <t>Ｆｅ受入</t>
  </si>
  <si>
    <t>Ｆｅ修繕</t>
  </si>
  <si>
    <t>１１ＴｒＢＲＹ</t>
  </si>
  <si>
    <t>Ｆ５１Ｓ</t>
  </si>
  <si>
    <t>１２ＴｒＢＲＹ</t>
  </si>
  <si>
    <t>緊急負荷制限</t>
  </si>
  <si>
    <t>１３ＴｒＢＲＹ</t>
  </si>
  <si>
    <t>Ｋ５１</t>
  </si>
  <si>
    <t>１４ＴｒＢＲＹ</t>
  </si>
  <si>
    <t>Ｋ９５</t>
  </si>
  <si>
    <t>１５ＴｒＢＲＹ</t>
  </si>
  <si>
    <t>Ｄ４４</t>
  </si>
  <si>
    <t>Ｄ５１</t>
  </si>
  <si>
    <t>Ｄ５６</t>
  </si>
  <si>
    <t>電気安推会</t>
  </si>
  <si>
    <t>ＢＳＳ</t>
  </si>
  <si>
    <t>社内試験</t>
  </si>
  <si>
    <t>Ｂa</t>
  </si>
  <si>
    <t>現場調査</t>
  </si>
  <si>
    <t>ＤＺ</t>
  </si>
  <si>
    <t>Ｋ２８</t>
  </si>
  <si>
    <t>ＴＣ（受入）</t>
  </si>
  <si>
    <t>ＴＣ（親）</t>
  </si>
  <si>
    <t>ＴＣ（子）</t>
  </si>
  <si>
    <t>ＴＭ</t>
  </si>
  <si>
    <t>ＷＨＭ</t>
  </si>
  <si>
    <t>ＷＨＭ受入</t>
  </si>
  <si>
    <t>所内ＷＨＭ</t>
  </si>
  <si>
    <t>制通安推会</t>
  </si>
  <si>
    <t>設定</t>
    <rPh sb="0" eb="2">
      <t>セッテイ</t>
    </rPh>
    <phoneticPr fontId="1"/>
  </si>
  <si>
    <t>結果の引継ぎ or リセット</t>
    <rPh sb="0" eb="2">
      <t>ケッカ</t>
    </rPh>
    <rPh sb="3" eb="5">
      <t>ヒキツ</t>
    </rPh>
    <phoneticPr fontId="1"/>
  </si>
  <si>
    <t>リセット</t>
    <phoneticPr fontId="1"/>
  </si>
  <si>
    <t>引継ぎ</t>
    <rPh sb="0" eb="2">
      <t>ヒキツ</t>
    </rPh>
    <phoneticPr fontId="1"/>
  </si>
  <si>
    <t>引継ぎ or リセット</t>
  </si>
  <si>
    <t>選択肢</t>
    <rPh sb="0" eb="3">
      <t>センタクシ</t>
    </rPh>
    <phoneticPr fontId="1"/>
  </si>
  <si>
    <t>非表示シート</t>
    <rPh sb="0" eb="3">
      <t>ヒヒョウジ</t>
    </rPh>
    <phoneticPr fontId="1"/>
  </si>
  <si>
    <t>Config (1)</t>
    <phoneticPr fontId="1"/>
  </si>
  <si>
    <t>Work</t>
    <phoneticPr fontId="1"/>
  </si>
  <si>
    <t>ブラックリストパス</t>
    <phoneticPr fontId="1"/>
  </si>
  <si>
    <t>ホワイトリストパス</t>
    <phoneticPr fontId="1"/>
  </si>
  <si>
    <t>抽出内容（ヘッダー最終行）</t>
    <rPh sb="0" eb="2">
      <t>チュウシュツ</t>
    </rPh>
    <rPh sb="2" eb="4">
      <t>ナイヨウ</t>
    </rPh>
    <rPh sb="9" eb="12">
      <t>サイシュウギョウ</t>
    </rPh>
    <phoneticPr fontId="1"/>
  </si>
  <si>
    <t>工程表Excelファイル_101</t>
    <rPh sb="0" eb="3">
      <t>コウテイヒョウ</t>
    </rPh>
    <phoneticPr fontId="1"/>
  </si>
  <si>
    <t>工程表Excelファイル_102</t>
    <rPh sb="0" eb="3">
      <t>コウテイヒョウ</t>
    </rPh>
    <phoneticPr fontId="1"/>
  </si>
  <si>
    <t>工程表Excelファイル_103</t>
    <rPh sb="0" eb="3">
      <t>コウテイヒョウ</t>
    </rPh>
    <phoneticPr fontId="1"/>
  </si>
  <si>
    <t>工程表Excelファイル_104</t>
    <rPh sb="0" eb="3">
      <t>コウテイヒョウ</t>
    </rPh>
    <phoneticPr fontId="1"/>
  </si>
  <si>
    <t>工程表Excelファイル_105</t>
    <rPh sb="0" eb="3">
      <t>コウテイヒョウ</t>
    </rPh>
    <phoneticPr fontId="1"/>
  </si>
  <si>
    <t>工程表Excelファイル_106</t>
    <rPh sb="0" eb="3">
      <t>コウテイヒョウ</t>
    </rPh>
    <phoneticPr fontId="1"/>
  </si>
  <si>
    <t>工程表Excelファイル_107</t>
    <rPh sb="0" eb="3">
      <t>コウテイヒョウ</t>
    </rPh>
    <phoneticPr fontId="1"/>
  </si>
  <si>
    <t>工程表Excelファイル_108</t>
    <rPh sb="0" eb="3">
      <t>コウテイヒョウ</t>
    </rPh>
    <phoneticPr fontId="1"/>
  </si>
  <si>
    <t>工程表Excelファイル_109</t>
    <rPh sb="0" eb="3">
      <t>コウテイヒョウ</t>
    </rPh>
    <phoneticPr fontId="1"/>
  </si>
  <si>
    <t>工程表Excelファイル_110</t>
    <rPh sb="0" eb="3">
      <t>コウテイヒョウ</t>
    </rPh>
    <phoneticPr fontId="1"/>
  </si>
  <si>
    <t>工程表Excelファイル_111</t>
    <rPh sb="0" eb="3">
      <t>コウテイヒョウ</t>
    </rPh>
    <phoneticPr fontId="1"/>
  </si>
  <si>
    <t>工程表Excelファイル_112</t>
    <rPh sb="0" eb="3">
      <t>コウテイヒョウ</t>
    </rPh>
    <phoneticPr fontId="1"/>
  </si>
  <si>
    <t>工程表Excelファイル_113</t>
    <rPh sb="0" eb="3">
      <t>コウテイヒョウ</t>
    </rPh>
    <phoneticPr fontId="1"/>
  </si>
  <si>
    <t>工程表Excelファイル_114</t>
    <rPh sb="0" eb="3">
      <t>コウテイヒョウ</t>
    </rPh>
    <phoneticPr fontId="1"/>
  </si>
  <si>
    <t>工程表Excelファイル_115</t>
    <rPh sb="0" eb="3">
      <t>コウテイヒョウ</t>
    </rPh>
    <phoneticPr fontId="1"/>
  </si>
  <si>
    <t>工程表Excelファイル_116</t>
    <rPh sb="0" eb="3">
      <t>コウテイヒョウ</t>
    </rPh>
    <phoneticPr fontId="1"/>
  </si>
  <si>
    <t>工程表Excelファイル_117</t>
    <rPh sb="0" eb="3">
      <t>コウテイヒョウ</t>
    </rPh>
    <phoneticPr fontId="1"/>
  </si>
  <si>
    <t>工程表Excelファイル_118</t>
    <rPh sb="0" eb="3">
      <t>コウテイヒョウ</t>
    </rPh>
    <phoneticPr fontId="1"/>
  </si>
  <si>
    <t>工程表Excelファイル_119</t>
    <rPh sb="0" eb="3">
      <t>コウテイヒョウ</t>
    </rPh>
    <phoneticPr fontId="1"/>
  </si>
  <si>
    <t>工程表Excelファイル_120</t>
    <rPh sb="0" eb="3">
      <t>コウテイヒョウ</t>
    </rPh>
    <phoneticPr fontId="1"/>
  </si>
  <si>
    <t>工程表Excelファイル_121</t>
    <rPh sb="0" eb="3">
      <t>コウテイヒョウ</t>
    </rPh>
    <phoneticPr fontId="1"/>
  </si>
  <si>
    <t>工程表Excelファイル_122</t>
    <rPh sb="0" eb="3">
      <t>コウテイヒョウ</t>
    </rPh>
    <phoneticPr fontId="1"/>
  </si>
  <si>
    <t>工程表Excelファイル_123</t>
    <rPh sb="0" eb="3">
      <t>コウテイヒョウ</t>
    </rPh>
    <phoneticPr fontId="1"/>
  </si>
  <si>
    <t>工程表Excelファイル_124</t>
    <rPh sb="0" eb="3">
      <t>コウテイヒョウ</t>
    </rPh>
    <phoneticPr fontId="1"/>
  </si>
  <si>
    <t>工程表Excelファイル_125</t>
    <rPh sb="0" eb="3">
      <t>コウテイヒョウ</t>
    </rPh>
    <phoneticPr fontId="1"/>
  </si>
  <si>
    <t>工程表Excelファイル_126</t>
    <rPh sb="0" eb="3">
      <t>コウテイヒョウ</t>
    </rPh>
    <phoneticPr fontId="1"/>
  </si>
  <si>
    <t>工程表Excelファイル_127</t>
    <rPh sb="0" eb="3">
      <t>コウテイヒョウ</t>
    </rPh>
    <phoneticPr fontId="1"/>
  </si>
  <si>
    <t>工程表Excelファイル_128</t>
    <rPh sb="0" eb="3">
      <t>コウテイヒョウ</t>
    </rPh>
    <phoneticPr fontId="1"/>
  </si>
  <si>
    <t>工程表Excelファイル_129</t>
    <rPh sb="0" eb="3">
      <t>コウテイヒョウ</t>
    </rPh>
    <phoneticPr fontId="1"/>
  </si>
  <si>
    <t>工程表Excelファイル_130</t>
    <rPh sb="0" eb="3">
      <t>コウテイヒョウ</t>
    </rPh>
    <phoneticPr fontId="1"/>
  </si>
  <si>
    <t>工程表Excelファイル_131</t>
    <rPh sb="0" eb="3">
      <t>コウテイヒョウ</t>
    </rPh>
    <phoneticPr fontId="1"/>
  </si>
  <si>
    <t>工程表Excelファイル_132</t>
    <rPh sb="0" eb="3">
      <t>コウテイヒョウ</t>
    </rPh>
    <phoneticPr fontId="1"/>
  </si>
  <si>
    <t>工程表Excelファイル_133</t>
    <rPh sb="0" eb="3">
      <t>コウテイヒョウ</t>
    </rPh>
    <phoneticPr fontId="1"/>
  </si>
  <si>
    <t>工程表Excelファイル_134</t>
    <rPh sb="0" eb="3">
      <t>コウテイヒョウ</t>
    </rPh>
    <phoneticPr fontId="1"/>
  </si>
  <si>
    <t>工程表Excelファイル_135</t>
    <rPh sb="0" eb="3">
      <t>コウテイヒョウ</t>
    </rPh>
    <phoneticPr fontId="1"/>
  </si>
  <si>
    <t>工程表Excelファイル_136</t>
    <rPh sb="0" eb="3">
      <t>コウテイヒョウ</t>
    </rPh>
    <phoneticPr fontId="1"/>
  </si>
  <si>
    <t>工程表Excelファイル_137</t>
    <rPh sb="0" eb="3">
      <t>コウテイヒョウ</t>
    </rPh>
    <phoneticPr fontId="1"/>
  </si>
  <si>
    <t>工程表Excelファイル_138</t>
    <rPh sb="0" eb="3">
      <t>コウテイヒョウ</t>
    </rPh>
    <phoneticPr fontId="1"/>
  </si>
  <si>
    <t>工程表Excelファイル_139</t>
    <rPh sb="0" eb="3">
      <t>コウテイヒョウ</t>
    </rPh>
    <phoneticPr fontId="1"/>
  </si>
  <si>
    <t>工程表Excelファイル_140</t>
    <rPh sb="0" eb="3">
      <t>コウテイヒョウ</t>
    </rPh>
    <phoneticPr fontId="1"/>
  </si>
  <si>
    <t>工程表Excelファイル_141</t>
    <rPh sb="0" eb="3">
      <t>コウテイヒョウ</t>
    </rPh>
    <phoneticPr fontId="1"/>
  </si>
  <si>
    <t>工程表Excelファイル_142</t>
    <rPh sb="0" eb="3">
      <t>コウテイヒョウ</t>
    </rPh>
    <phoneticPr fontId="1"/>
  </si>
  <si>
    <t>工程表Excelファイル_143</t>
    <rPh sb="0" eb="3">
      <t>コウテイヒョウ</t>
    </rPh>
    <phoneticPr fontId="1"/>
  </si>
  <si>
    <t>工程表Excelファイル_144</t>
    <rPh sb="0" eb="3">
      <t>コウテイヒョウ</t>
    </rPh>
    <phoneticPr fontId="1"/>
  </si>
  <si>
    <t>工程表Excelファイル_145</t>
    <rPh sb="0" eb="3">
      <t>コウテイヒョウ</t>
    </rPh>
    <phoneticPr fontId="1"/>
  </si>
  <si>
    <t>工程表Excelファイル_146</t>
    <rPh sb="0" eb="3">
      <t>コウテイヒョウ</t>
    </rPh>
    <phoneticPr fontId="1"/>
  </si>
  <si>
    <t>工程表Excelファイル_147</t>
    <rPh sb="0" eb="3">
      <t>コウテイヒョウ</t>
    </rPh>
    <phoneticPr fontId="1"/>
  </si>
  <si>
    <t>工程表Excelファイル_148</t>
    <rPh sb="0" eb="3">
      <t>コウテイヒョウ</t>
    </rPh>
    <phoneticPr fontId="1"/>
  </si>
  <si>
    <t>工程表Excelファイル_149</t>
    <rPh sb="0" eb="3">
      <t>コウテイヒョウ</t>
    </rPh>
    <phoneticPr fontId="1"/>
  </si>
  <si>
    <t>工程表Excelファイル_150</t>
    <rPh sb="0" eb="3">
      <t>コウテイヒョウ</t>
    </rPh>
    <phoneticPr fontId="1"/>
  </si>
  <si>
    <t>工程表Excelファイル_151</t>
    <rPh sb="0" eb="3">
      <t>コウテイヒョウ</t>
    </rPh>
    <phoneticPr fontId="1"/>
  </si>
  <si>
    <t>工程表Excelファイル_152</t>
    <rPh sb="0" eb="3">
      <t>コウテイヒョウ</t>
    </rPh>
    <phoneticPr fontId="1"/>
  </si>
  <si>
    <t>工程表Excelファイル_153</t>
    <rPh sb="0" eb="3">
      <t>コウテイヒョウ</t>
    </rPh>
    <phoneticPr fontId="1"/>
  </si>
  <si>
    <t>工程表Excelファイル_154</t>
    <rPh sb="0" eb="3">
      <t>コウテイヒョウ</t>
    </rPh>
    <phoneticPr fontId="1"/>
  </si>
  <si>
    <t>工程表Excelファイル_155</t>
    <rPh sb="0" eb="3">
      <t>コウテイヒョウ</t>
    </rPh>
    <phoneticPr fontId="1"/>
  </si>
  <si>
    <t>工程表Excelファイル_156</t>
    <rPh sb="0" eb="3">
      <t>コウテイヒョウ</t>
    </rPh>
    <phoneticPr fontId="1"/>
  </si>
  <si>
    <t>工程表Excelファイル_157</t>
    <rPh sb="0" eb="3">
      <t>コウテイヒョウ</t>
    </rPh>
    <phoneticPr fontId="1"/>
  </si>
  <si>
    <t>工程表Excelファイル_158</t>
    <rPh sb="0" eb="3">
      <t>コウテイヒョウ</t>
    </rPh>
    <phoneticPr fontId="1"/>
  </si>
  <si>
    <t>工程表Excelファイル_159</t>
    <rPh sb="0" eb="3">
      <t>コウテイヒョウ</t>
    </rPh>
    <phoneticPr fontId="1"/>
  </si>
  <si>
    <t>工程表Excelファイル_160</t>
    <rPh sb="0" eb="3">
      <t>コウテイヒョウ</t>
    </rPh>
    <phoneticPr fontId="1"/>
  </si>
  <si>
    <t>工程表Excelファイル_161</t>
    <rPh sb="0" eb="3">
      <t>コウテイヒョウ</t>
    </rPh>
    <phoneticPr fontId="1"/>
  </si>
  <si>
    <t>工程表Excelファイル_162</t>
    <rPh sb="0" eb="3">
      <t>コウテイヒョウ</t>
    </rPh>
    <phoneticPr fontId="1"/>
  </si>
  <si>
    <t>工程表Excelファイル_163</t>
    <rPh sb="0" eb="3">
      <t>コウテイヒョウ</t>
    </rPh>
    <phoneticPr fontId="1"/>
  </si>
  <si>
    <t>工程表Excelファイル_164</t>
    <rPh sb="0" eb="3">
      <t>コウテイヒョウ</t>
    </rPh>
    <phoneticPr fontId="1"/>
  </si>
  <si>
    <t>工程表Excelファイル_165</t>
    <rPh sb="0" eb="3">
      <t>コウテイヒョウ</t>
    </rPh>
    <phoneticPr fontId="1"/>
  </si>
  <si>
    <t>工程表Excelファイル_166</t>
    <rPh sb="0" eb="3">
      <t>コウテイヒョウ</t>
    </rPh>
    <phoneticPr fontId="1"/>
  </si>
  <si>
    <t>工程表Excelファイル_167</t>
    <rPh sb="0" eb="3">
      <t>コウテイヒョウ</t>
    </rPh>
    <phoneticPr fontId="1"/>
  </si>
  <si>
    <t>工程表Excelファイル_168</t>
    <rPh sb="0" eb="3">
      <t>コウテイヒョウ</t>
    </rPh>
    <phoneticPr fontId="1"/>
  </si>
  <si>
    <t>工程表Excelファイル_169</t>
    <rPh sb="0" eb="3">
      <t>コウテイヒョウ</t>
    </rPh>
    <phoneticPr fontId="1"/>
  </si>
  <si>
    <t>工程表Excelファイル_170</t>
    <rPh sb="0" eb="3">
      <t>コウテイヒョウ</t>
    </rPh>
    <phoneticPr fontId="1"/>
  </si>
  <si>
    <t>工程表Excelファイル_171</t>
    <rPh sb="0" eb="3">
      <t>コウテイヒョウ</t>
    </rPh>
    <phoneticPr fontId="1"/>
  </si>
  <si>
    <t>工程表Excelファイル_172</t>
    <rPh sb="0" eb="3">
      <t>コウテイヒョウ</t>
    </rPh>
    <phoneticPr fontId="1"/>
  </si>
  <si>
    <t>工程表Excelファイル_173</t>
    <rPh sb="0" eb="3">
      <t>コウテイヒョウ</t>
    </rPh>
    <phoneticPr fontId="1"/>
  </si>
  <si>
    <t>工程表Excelファイル_174</t>
    <rPh sb="0" eb="3">
      <t>コウテイヒョウ</t>
    </rPh>
    <phoneticPr fontId="1"/>
  </si>
  <si>
    <t>工程表Excelファイル_175</t>
    <rPh sb="0" eb="3">
      <t>コウテイヒョウ</t>
    </rPh>
    <phoneticPr fontId="1"/>
  </si>
  <si>
    <t>工程表Excelファイル_176</t>
    <rPh sb="0" eb="3">
      <t>コウテイヒョウ</t>
    </rPh>
    <phoneticPr fontId="1"/>
  </si>
  <si>
    <t>工程表Excelファイル_177</t>
    <rPh sb="0" eb="3">
      <t>コウテイヒョウ</t>
    </rPh>
    <phoneticPr fontId="1"/>
  </si>
  <si>
    <t>工程表Excelファイル_178</t>
    <rPh sb="0" eb="3">
      <t>コウテイヒョウ</t>
    </rPh>
    <phoneticPr fontId="1"/>
  </si>
  <si>
    <t>工程表Excelファイル_179</t>
    <rPh sb="0" eb="3">
      <t>コウテイヒョウ</t>
    </rPh>
    <phoneticPr fontId="1"/>
  </si>
  <si>
    <t>工程表Excelファイル_180</t>
    <rPh sb="0" eb="3">
      <t>コウテイヒョウ</t>
    </rPh>
    <phoneticPr fontId="1"/>
  </si>
  <si>
    <t>工程表Excelファイル_181</t>
    <rPh sb="0" eb="3">
      <t>コウテイヒョウ</t>
    </rPh>
    <phoneticPr fontId="1"/>
  </si>
  <si>
    <t>工程表Excelファイル_182</t>
    <rPh sb="0" eb="3">
      <t>コウテイヒョウ</t>
    </rPh>
    <phoneticPr fontId="1"/>
  </si>
  <si>
    <t>工程表Excelファイル_183</t>
    <rPh sb="0" eb="3">
      <t>コウテイヒョウ</t>
    </rPh>
    <phoneticPr fontId="1"/>
  </si>
  <si>
    <t>工程表Excelファイル_184</t>
    <rPh sb="0" eb="3">
      <t>コウテイヒョウ</t>
    </rPh>
    <phoneticPr fontId="1"/>
  </si>
  <si>
    <t>工程表Excelファイル_185</t>
    <rPh sb="0" eb="3">
      <t>コウテイヒョウ</t>
    </rPh>
    <phoneticPr fontId="1"/>
  </si>
  <si>
    <t>工程表Excelファイル_186</t>
    <rPh sb="0" eb="3">
      <t>コウテイヒョウ</t>
    </rPh>
    <phoneticPr fontId="1"/>
  </si>
  <si>
    <t>工程表Excelファイル_187</t>
    <rPh sb="0" eb="3">
      <t>コウテイヒョウ</t>
    </rPh>
    <phoneticPr fontId="1"/>
  </si>
  <si>
    <t>工程表Excelファイル_188</t>
    <rPh sb="0" eb="3">
      <t>コウテイヒョウ</t>
    </rPh>
    <phoneticPr fontId="1"/>
  </si>
  <si>
    <t>工程表Excelファイル_189</t>
    <rPh sb="0" eb="3">
      <t>コウテイヒョウ</t>
    </rPh>
    <phoneticPr fontId="1"/>
  </si>
  <si>
    <t>工程表Excelファイル_190</t>
    <rPh sb="0" eb="3">
      <t>コウテイヒョウ</t>
    </rPh>
    <phoneticPr fontId="1"/>
  </si>
  <si>
    <t>工程表Excelファイル_191</t>
    <rPh sb="0" eb="3">
      <t>コウテイヒョウ</t>
    </rPh>
    <phoneticPr fontId="1"/>
  </si>
  <si>
    <t>工程表Excelファイル_192</t>
    <rPh sb="0" eb="3">
      <t>コウテイヒョウ</t>
    </rPh>
    <phoneticPr fontId="1"/>
  </si>
  <si>
    <t>工程表Excelファイル_193</t>
    <rPh sb="0" eb="3">
      <t>コウテイヒョウ</t>
    </rPh>
    <phoneticPr fontId="1"/>
  </si>
  <si>
    <t>工程表Excelファイル_194</t>
    <rPh sb="0" eb="3">
      <t>コウテイヒョウ</t>
    </rPh>
    <phoneticPr fontId="1"/>
  </si>
  <si>
    <t>工程表Excelファイル_195</t>
    <rPh sb="0" eb="3">
      <t>コウテイヒョウ</t>
    </rPh>
    <phoneticPr fontId="1"/>
  </si>
  <si>
    <t>工程表Excelファイル_196</t>
    <rPh sb="0" eb="3">
      <t>コウテイヒョウ</t>
    </rPh>
    <phoneticPr fontId="1"/>
  </si>
  <si>
    <t>工程表Excelファイル_197</t>
    <rPh sb="0" eb="3">
      <t>コウテイヒョウ</t>
    </rPh>
    <phoneticPr fontId="1"/>
  </si>
  <si>
    <t>工程表Excelファイル_198</t>
    <rPh sb="0" eb="3">
      <t>コウテイヒョウ</t>
    </rPh>
    <phoneticPr fontId="1"/>
  </si>
  <si>
    <t>工程表Excelファイル_199</t>
    <rPh sb="0" eb="3">
      <t>コウテイヒョウ</t>
    </rPh>
    <phoneticPr fontId="1"/>
  </si>
  <si>
    <t>工程表Excelファイル_200</t>
    <rPh sb="0" eb="3">
      <t>コウテイヒョウ</t>
    </rPh>
    <phoneticPr fontId="1"/>
  </si>
  <si>
    <t>デバッグモード</t>
    <phoneticPr fontId="1"/>
  </si>
  <si>
    <t>TRUE or FALSE</t>
    <phoneticPr fontId="1"/>
  </si>
  <si>
    <t>ファイル名</t>
    <rPh sb="4" eb="5">
      <t>メイ</t>
    </rPh>
    <phoneticPr fontId="1"/>
  </si>
  <si>
    <t>検索ファイル名/パス</t>
    <rPh sb="0" eb="2">
      <t>ケンサク</t>
    </rPh>
    <rPh sb="6" eb="7">
      <t>メイ</t>
    </rPh>
    <phoneticPr fontId="1"/>
  </si>
  <si>
    <t>処理工程表ファイルNo</t>
    <rPh sb="0" eb="2">
      <t>ショリ</t>
    </rPh>
    <rPh sb="2" eb="5">
      <t>コウテイヒョウ</t>
    </rPh>
    <phoneticPr fontId="1"/>
  </si>
  <si>
    <t>担当の名前_1</t>
    <rPh sb="0" eb="2">
      <t>タントウ</t>
    </rPh>
    <rPh sb="3" eb="5">
      <t>ナマエ</t>
    </rPh>
    <phoneticPr fontId="1"/>
  </si>
  <si>
    <t>担当の名前_2</t>
    <rPh sb="0" eb="2">
      <t>タントウ</t>
    </rPh>
    <rPh sb="3" eb="5">
      <t>ナマエ</t>
    </rPh>
    <phoneticPr fontId="1"/>
  </si>
  <si>
    <t>担当の名前_3</t>
    <rPh sb="0" eb="2">
      <t>タントウ</t>
    </rPh>
    <rPh sb="3" eb="5">
      <t>ナマエ</t>
    </rPh>
    <phoneticPr fontId="1"/>
  </si>
  <si>
    <t>担当の名前_4</t>
    <rPh sb="0" eb="2">
      <t>タントウ</t>
    </rPh>
    <rPh sb="3" eb="5">
      <t>ナマエ</t>
    </rPh>
    <phoneticPr fontId="1"/>
  </si>
  <si>
    <t>担当の名前_5</t>
    <rPh sb="0" eb="2">
      <t>タントウ</t>
    </rPh>
    <rPh sb="3" eb="5">
      <t>ナマエ</t>
    </rPh>
    <phoneticPr fontId="1"/>
  </si>
  <si>
    <t>担当の名前_6</t>
    <rPh sb="0" eb="2">
      <t>タントウ</t>
    </rPh>
    <rPh sb="3" eb="5">
      <t>ナマエ</t>
    </rPh>
    <phoneticPr fontId="1"/>
  </si>
  <si>
    <t>担当の名前_7</t>
    <rPh sb="0" eb="2">
      <t>タントウ</t>
    </rPh>
    <rPh sb="3" eb="5">
      <t>ナマエ</t>
    </rPh>
    <phoneticPr fontId="1"/>
  </si>
  <si>
    <t>担当の名前_8</t>
    <rPh sb="0" eb="2">
      <t>タントウ</t>
    </rPh>
    <rPh sb="3" eb="5">
      <t>ナマエ</t>
    </rPh>
    <phoneticPr fontId="1"/>
  </si>
  <si>
    <t>担当の名前_9</t>
    <rPh sb="0" eb="2">
      <t>タントウ</t>
    </rPh>
    <rPh sb="3" eb="5">
      <t>ナマエ</t>
    </rPh>
    <phoneticPr fontId="1"/>
  </si>
  <si>
    <t>担当の名前_10</t>
    <rPh sb="0" eb="2">
      <t>タントウ</t>
    </rPh>
    <rPh sb="3" eb="5">
      <t>ナマエ</t>
    </rPh>
    <phoneticPr fontId="1"/>
  </si>
  <si>
    <t>工程ファイルの工程パターン</t>
    <rPh sb="0" eb="2">
      <t>コウテイ</t>
    </rPh>
    <rPh sb="7" eb="9">
      <t>コウテイ</t>
    </rPh>
    <phoneticPr fontId="1"/>
  </si>
  <si>
    <t>選択ファイル名</t>
    <rPh sb="0" eb="2">
      <t>センタク</t>
    </rPh>
    <rPh sb="6" eb="7">
      <t>メイ</t>
    </rPh>
    <phoneticPr fontId="1"/>
  </si>
  <si>
    <t>オフセット_1</t>
    <phoneticPr fontId="1"/>
  </si>
  <si>
    <t>オフセット_2</t>
  </si>
  <si>
    <t>オフセット_3</t>
  </si>
  <si>
    <t>オフセット_4</t>
  </si>
  <si>
    <t>オフセット_5</t>
  </si>
  <si>
    <t>オフセット_6</t>
  </si>
  <si>
    <t>オフセット_7</t>
  </si>
  <si>
    <t>オフセット_8</t>
  </si>
  <si>
    <t>オフセット_9</t>
  </si>
  <si>
    <t>オフセット_10</t>
  </si>
  <si>
    <t>オフセット_11</t>
  </si>
  <si>
    <t>オフセット_12</t>
  </si>
  <si>
    <t>オフセット_13</t>
  </si>
  <si>
    <t>オフセット_14</t>
  </si>
  <si>
    <t>オフセット_15</t>
  </si>
  <si>
    <t>非表示方式</t>
    <rPh sb="0" eb="3">
      <t>ヒヒョウジ</t>
    </rPh>
    <rPh sb="3" eb="5">
      <t>ホウシキ</t>
    </rPh>
    <phoneticPr fontId="1"/>
  </si>
  <si>
    <t>xlSheetHidden or xlSheetVeryHidden</t>
    <phoneticPr fontId="1"/>
  </si>
  <si>
    <t>xlSheetHidden</t>
    <phoneticPr fontId="1"/>
  </si>
  <si>
    <t>Workシートからの抽出後の再計算</t>
    <rPh sb="10" eb="12">
      <t>チュウシュツ</t>
    </rPh>
    <rPh sb="12" eb="13">
      <t>ゴ</t>
    </rPh>
    <rPh sb="14" eb="17">
      <t>サイケイサン</t>
    </rPh>
    <phoneticPr fontId="1"/>
  </si>
  <si>
    <t>2025.04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</si>
</sst>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6"/>
      <name val="ＭＳ Ｐゴシック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sz val="11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1" xfId="0" applyBorder="1"/>
    <xf numFmtId="0" fontId="3" fillId="0" borderId="0" xfId="0" applyFont="1"/>
    <xf numFmtId="0" fontId="3" fillId="0" borderId="0" xfId="0" applyFont="1" applyAlignment="1">
      <alignment vertical="center"/>
    </xf>
    <xf numFmtId="49" fontId="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0" fillId="2" borderId="0" xfId="0" applyFill="1"/>
    <xf numFmtId="20" fontId="0" fillId="0" borderId="0" xfId="0" quotePrefix="1" applyNumberFormat="1"/>
    <xf numFmtId="0" fontId="4" fillId="0" borderId="0" xfId="0" applyFont="1"/>
    <xf numFmtId="0" fontId="0" fillId="0" borderId="3" xfId="0" applyBorder="1"/>
    <xf numFmtId="0" fontId="5" fillId="2" borderId="0" xfId="1" applyFill="1"/>
    <xf numFmtId="0" fontId="0" fillId="3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4" borderId="0" xfId="0" applyFill="1"/>
    <xf numFmtId="0" fontId="0" fillId="5" borderId="0" xfId="0" applyFill="1"/>
    <xf numFmtId="0" fontId="0" fillId="6" borderId="0" xfId="0" applyFill="1"/>
    <xf numFmtId="0" fontId="6" fillId="0" borderId="0" xfId="0" applyFont="1"/>
    <xf numFmtId="0" fontId="0" fillId="7" borderId="0" xfId="0" applyFill="1"/>
    <xf numFmtId="0" fontId="0" fillId="8" borderId="0" xfId="0" applyFill="1"/>
    <xf numFmtId="0" fontId="7" fillId="2" borderId="0" xfId="1" applyFont="1" applyFill="1"/>
    <xf numFmtId="0" fontId="0" fillId="0" borderId="7" xfId="0" applyBorder="1"/>
    <xf numFmtId="0" fontId="0" fillId="0" borderId="0" xfId="0" applyBorder="1"/>
    <xf numFmtId="0" fontId="0" fillId="9" borderId="0" xfId="0" applyFill="1"/>
    <xf numFmtId="0" fontId="0" fillId="5" borderId="0" xfId="0" applyFill="1" applyBorder="1"/>
    <xf numFmtId="0" fontId="0" fillId="2" borderId="7" xfId="0" applyFill="1" applyBorder="1"/>
    <xf numFmtId="49" fontId="0" fillId="0" borderId="0" xfId="0" applyNumberFormat="1" applyAlignment="1">
      <alignment vertical="center"/>
    </xf>
    <xf numFmtId="49" fontId="0" fillId="0" borderId="0" xfId="0" applyNumberFormat="1"/>
    <xf numFmtId="49" fontId="3" fillId="0" borderId="2" xfId="0" applyNumberFormat="1" applyFont="1" applyBorder="1"/>
    <xf numFmtId="49" fontId="0" fillId="0" borderId="2" xfId="0" applyNumberFormat="1" applyBorder="1"/>
    <xf numFmtId="49" fontId="4" fillId="0" borderId="2" xfId="0" applyNumberFormat="1" applyFont="1" applyBorder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C102"/>
  <sheetViews>
    <sheetView tabSelected="1" zoomScaleNormal="100" workbookViewId="0">
      <selection activeCell="J6" sqref="J6"/>
    </sheetView>
  </sheetViews>
  <sheetFormatPr defaultRowHeight="18.75"/>
  <cols>
    <col min="1" max="1" width="15.375" bestFit="1" customWidth="1"/>
    <col min="2" max="2" width="30.5" customWidth="1"/>
  </cols>
  <sheetData>
    <row r="3" spans="1:3">
      <c r="A3" t="s">
        <v>0</v>
      </c>
      <c r="B3" s="1" t="s">
        <v>1</v>
      </c>
    </row>
    <row r="4" spans="1:3">
      <c r="A4" t="s">
        <v>2</v>
      </c>
      <c r="B4" s="1"/>
      <c r="C4" t="s">
        <v>3</v>
      </c>
    </row>
    <row r="5" spans="1:3">
      <c r="A5" t="s">
        <v>4</v>
      </c>
      <c r="B5" s="1"/>
      <c r="C5" t="s">
        <v>5</v>
      </c>
    </row>
    <row r="6" spans="1:3">
      <c r="A6" t="s">
        <v>6</v>
      </c>
      <c r="B6" s="1"/>
      <c r="C6" t="s">
        <v>7</v>
      </c>
    </row>
    <row r="7" spans="1:3">
      <c r="A7" t="s">
        <v>8</v>
      </c>
      <c r="B7" s="1"/>
      <c r="C7" t="s">
        <v>9</v>
      </c>
    </row>
    <row r="8" spans="1:3">
      <c r="A8" t="s">
        <v>10</v>
      </c>
      <c r="B8" s="1"/>
      <c r="C8" t="s">
        <v>11</v>
      </c>
    </row>
    <row r="9" spans="1:3">
      <c r="A9" t="s">
        <v>12</v>
      </c>
      <c r="B9" s="1"/>
      <c r="C9" t="s">
        <v>13</v>
      </c>
    </row>
    <row r="10" spans="1:3">
      <c r="A10" t="s">
        <v>14</v>
      </c>
      <c r="B10" s="1"/>
      <c r="C10" t="s">
        <v>15</v>
      </c>
    </row>
    <row r="11" spans="1:3">
      <c r="A11" t="s">
        <v>16</v>
      </c>
      <c r="B11" s="1"/>
      <c r="C11" t="s">
        <v>17</v>
      </c>
    </row>
    <row r="12" spans="1:3">
      <c r="A12" t="s">
        <v>18</v>
      </c>
      <c r="B12" s="1"/>
      <c r="C12" t="s">
        <v>19</v>
      </c>
    </row>
    <row r="13" spans="1:3">
      <c r="A13" t="s">
        <v>20</v>
      </c>
      <c r="B13" s="1"/>
      <c r="C13" t="s">
        <v>21</v>
      </c>
    </row>
    <row r="14" spans="1:3">
      <c r="A14" t="s">
        <v>22</v>
      </c>
      <c r="B14" s="1"/>
      <c r="C14" t="s">
        <v>23</v>
      </c>
    </row>
    <row r="15" spans="1:3">
      <c r="A15" t="s">
        <v>24</v>
      </c>
      <c r="B15" s="1"/>
      <c r="C15" t="s">
        <v>25</v>
      </c>
    </row>
    <row r="16" spans="1:3">
      <c r="A16" t="s">
        <v>26</v>
      </c>
      <c r="B16" s="1"/>
    </row>
    <row r="17" spans="1:2">
      <c r="A17" t="s">
        <v>27</v>
      </c>
      <c r="B17" s="1"/>
    </row>
    <row r="18" spans="1:2">
      <c r="A18" t="s">
        <v>28</v>
      </c>
      <c r="B18" s="1"/>
    </row>
    <row r="19" spans="1:2">
      <c r="A19" t="s">
        <v>29</v>
      </c>
      <c r="B19" s="1"/>
    </row>
    <row r="20" spans="1:2">
      <c r="A20" t="s">
        <v>30</v>
      </c>
      <c r="B20" s="1"/>
    </row>
    <row r="21" spans="1:2">
      <c r="A21" t="s">
        <v>31</v>
      </c>
      <c r="B21" s="1"/>
    </row>
    <row r="22" spans="1:2">
      <c r="A22" t="s">
        <v>32</v>
      </c>
      <c r="B22" s="1"/>
    </row>
    <row r="23" spans="1:2">
      <c r="A23" t="s">
        <v>33</v>
      </c>
      <c r="B23" s="1"/>
    </row>
    <row r="24" spans="1:2">
      <c r="A24" t="s">
        <v>34</v>
      </c>
      <c r="B24" s="1"/>
    </row>
    <row r="25" spans="1:2">
      <c r="A25" t="s">
        <v>35</v>
      </c>
      <c r="B25" s="1"/>
    </row>
    <row r="26" spans="1:2">
      <c r="A26" t="s">
        <v>36</v>
      </c>
      <c r="B26" s="1"/>
    </row>
    <row r="27" spans="1:2">
      <c r="A27" t="s">
        <v>37</v>
      </c>
      <c r="B27" s="1"/>
    </row>
    <row r="28" spans="1:2">
      <c r="A28" t="s">
        <v>38</v>
      </c>
      <c r="B28" s="1"/>
    </row>
    <row r="29" spans="1:2">
      <c r="A29" t="s">
        <v>39</v>
      </c>
      <c r="B29" s="1"/>
    </row>
    <row r="30" spans="1:2">
      <c r="A30" t="s">
        <v>40</v>
      </c>
      <c r="B30" s="1"/>
    </row>
    <row r="31" spans="1:2">
      <c r="A31" t="s">
        <v>41</v>
      </c>
      <c r="B31" s="1"/>
    </row>
    <row r="32" spans="1:2">
      <c r="A32" t="s">
        <v>42</v>
      </c>
      <c r="B32" s="1"/>
    </row>
    <row r="33" spans="1:2">
      <c r="A33" t="s">
        <v>43</v>
      </c>
      <c r="B33" s="1"/>
    </row>
    <row r="34" spans="1:2">
      <c r="A34" t="s">
        <v>44</v>
      </c>
      <c r="B34" s="1"/>
    </row>
    <row r="35" spans="1:2">
      <c r="A35" t="s">
        <v>45</v>
      </c>
      <c r="B35" s="1"/>
    </row>
    <row r="36" spans="1:2">
      <c r="A36" t="s">
        <v>46</v>
      </c>
      <c r="B36" s="1"/>
    </row>
    <row r="37" spans="1:2">
      <c r="A37" t="s">
        <v>47</v>
      </c>
      <c r="B37" s="1"/>
    </row>
    <row r="38" spans="1:2">
      <c r="A38" t="s">
        <v>48</v>
      </c>
      <c r="B38" s="1"/>
    </row>
    <row r="39" spans="1:2">
      <c r="A39" t="s">
        <v>49</v>
      </c>
      <c r="B39" s="1"/>
    </row>
    <row r="40" spans="1:2">
      <c r="A40" t="s">
        <v>50</v>
      </c>
      <c r="B40" s="1"/>
    </row>
    <row r="41" spans="1:2">
      <c r="A41" t="s">
        <v>51</v>
      </c>
      <c r="B41" s="1"/>
    </row>
    <row r="42" spans="1:2">
      <c r="A42" t="s">
        <v>52</v>
      </c>
      <c r="B42" s="1"/>
    </row>
    <row r="43" spans="1:2">
      <c r="A43" t="s">
        <v>53</v>
      </c>
      <c r="B43" s="1"/>
    </row>
    <row r="44" spans="1:2">
      <c r="A44" t="s">
        <v>54</v>
      </c>
      <c r="B44" s="1"/>
    </row>
    <row r="45" spans="1:2">
      <c r="A45" t="s">
        <v>55</v>
      </c>
      <c r="B45" s="1"/>
    </row>
    <row r="46" spans="1:2">
      <c r="A46" t="s">
        <v>56</v>
      </c>
      <c r="B46" s="1"/>
    </row>
    <row r="47" spans="1:2">
      <c r="A47" t="s">
        <v>57</v>
      </c>
      <c r="B47" s="1"/>
    </row>
    <row r="48" spans="1:2">
      <c r="A48" t="s">
        <v>58</v>
      </c>
      <c r="B48" s="1"/>
    </row>
    <row r="49" spans="1:2">
      <c r="A49" t="s">
        <v>59</v>
      </c>
      <c r="B49" s="1"/>
    </row>
    <row r="50" spans="1:2">
      <c r="A50" t="s">
        <v>60</v>
      </c>
      <c r="B50" s="1"/>
    </row>
    <row r="51" spans="1:2">
      <c r="A51" t="s">
        <v>61</v>
      </c>
      <c r="B51" s="1"/>
    </row>
    <row r="52" spans="1:2">
      <c r="A52" t="s">
        <v>62</v>
      </c>
      <c r="B52" s="1"/>
    </row>
    <row r="53" spans="1:2">
      <c r="A53" t="s">
        <v>63</v>
      </c>
      <c r="B53" s="1"/>
    </row>
    <row r="54" spans="1:2">
      <c r="A54" t="s">
        <v>64</v>
      </c>
      <c r="B54" s="1"/>
    </row>
    <row r="55" spans="1:2">
      <c r="A55" t="s">
        <v>65</v>
      </c>
      <c r="B55" s="1"/>
    </row>
    <row r="56" spans="1:2">
      <c r="A56" t="s">
        <v>66</v>
      </c>
      <c r="B56" s="1"/>
    </row>
    <row r="57" spans="1:2">
      <c r="A57" t="s">
        <v>67</v>
      </c>
      <c r="B57" s="1"/>
    </row>
    <row r="58" spans="1:2">
      <c r="A58" t="s">
        <v>68</v>
      </c>
      <c r="B58" s="1"/>
    </row>
    <row r="59" spans="1:2">
      <c r="A59" t="s">
        <v>69</v>
      </c>
      <c r="B59" s="1"/>
    </row>
    <row r="60" spans="1:2">
      <c r="A60" t="s">
        <v>70</v>
      </c>
      <c r="B60" s="1"/>
    </row>
    <row r="61" spans="1:2">
      <c r="A61" t="s">
        <v>71</v>
      </c>
      <c r="B61" s="1"/>
    </row>
    <row r="62" spans="1:2">
      <c r="A62" t="s">
        <v>72</v>
      </c>
      <c r="B62" s="1"/>
    </row>
    <row r="63" spans="1:2">
      <c r="A63" t="s">
        <v>73</v>
      </c>
      <c r="B63" s="1"/>
    </row>
    <row r="64" spans="1:2">
      <c r="A64" t="s">
        <v>74</v>
      </c>
      <c r="B64" s="1"/>
    </row>
    <row r="65" spans="1:2">
      <c r="A65" t="s">
        <v>75</v>
      </c>
      <c r="B65" s="1"/>
    </row>
    <row r="66" spans="1:2">
      <c r="A66" t="s">
        <v>76</v>
      </c>
      <c r="B66" s="1"/>
    </row>
    <row r="67" spans="1:2">
      <c r="A67" t="s">
        <v>77</v>
      </c>
      <c r="B67" s="1"/>
    </row>
    <row r="68" spans="1:2">
      <c r="A68" t="s">
        <v>78</v>
      </c>
      <c r="B68" s="1"/>
    </row>
    <row r="69" spans="1:2">
      <c r="A69" t="s">
        <v>79</v>
      </c>
      <c r="B69" s="1"/>
    </row>
    <row r="70" spans="1:2">
      <c r="A70" t="s">
        <v>80</v>
      </c>
      <c r="B70" s="1"/>
    </row>
    <row r="71" spans="1:2">
      <c r="A71" t="s">
        <v>81</v>
      </c>
      <c r="B71" s="1"/>
    </row>
    <row r="72" spans="1:2">
      <c r="A72" t="s">
        <v>82</v>
      </c>
      <c r="B72" s="1"/>
    </row>
    <row r="73" spans="1:2">
      <c r="A73" t="s">
        <v>83</v>
      </c>
      <c r="B73" s="1"/>
    </row>
    <row r="74" spans="1:2">
      <c r="A74" t="s">
        <v>84</v>
      </c>
      <c r="B74" s="1"/>
    </row>
    <row r="75" spans="1:2">
      <c r="A75" t="s">
        <v>85</v>
      </c>
      <c r="B75" s="1"/>
    </row>
    <row r="76" spans="1:2">
      <c r="A76" t="s">
        <v>86</v>
      </c>
      <c r="B76" s="1"/>
    </row>
    <row r="77" spans="1:2">
      <c r="A77" t="s">
        <v>87</v>
      </c>
      <c r="B77" s="1"/>
    </row>
    <row r="78" spans="1:2">
      <c r="A78" t="s">
        <v>88</v>
      </c>
      <c r="B78" s="1"/>
    </row>
    <row r="79" spans="1:2">
      <c r="A79" t="s">
        <v>89</v>
      </c>
      <c r="B79" s="1"/>
    </row>
    <row r="80" spans="1:2">
      <c r="A80" t="s">
        <v>90</v>
      </c>
      <c r="B80" s="1"/>
    </row>
    <row r="81" spans="1:2">
      <c r="A81" t="s">
        <v>91</v>
      </c>
      <c r="B81" s="1"/>
    </row>
    <row r="82" spans="1:2">
      <c r="A82" t="s">
        <v>92</v>
      </c>
      <c r="B82" s="1"/>
    </row>
    <row r="83" spans="1:2">
      <c r="A83" t="s">
        <v>93</v>
      </c>
      <c r="B83" s="1"/>
    </row>
    <row r="84" spans="1:2">
      <c r="A84" t="s">
        <v>94</v>
      </c>
      <c r="B84" s="1"/>
    </row>
    <row r="85" spans="1:2">
      <c r="A85" t="s">
        <v>95</v>
      </c>
      <c r="B85" s="1"/>
    </row>
    <row r="86" spans="1:2">
      <c r="A86" t="s">
        <v>96</v>
      </c>
      <c r="B86" s="1"/>
    </row>
    <row r="87" spans="1:2">
      <c r="A87" t="s">
        <v>97</v>
      </c>
      <c r="B87" s="1"/>
    </row>
    <row r="88" spans="1:2">
      <c r="A88" t="s">
        <v>98</v>
      </c>
      <c r="B88" s="1"/>
    </row>
    <row r="89" spans="1:2">
      <c r="A89" t="s">
        <v>99</v>
      </c>
      <c r="B89" s="1"/>
    </row>
    <row r="90" spans="1:2">
      <c r="A90" t="s">
        <v>100</v>
      </c>
      <c r="B90" s="1"/>
    </row>
    <row r="91" spans="1:2">
      <c r="A91" t="s">
        <v>101</v>
      </c>
      <c r="B91" s="1"/>
    </row>
    <row r="92" spans="1:2">
      <c r="A92" t="s">
        <v>102</v>
      </c>
      <c r="B92" s="1"/>
    </row>
    <row r="93" spans="1:2">
      <c r="A93" t="s">
        <v>103</v>
      </c>
      <c r="B93" s="1"/>
    </row>
    <row r="94" spans="1:2">
      <c r="A94" t="s">
        <v>104</v>
      </c>
      <c r="B94" s="1"/>
    </row>
    <row r="95" spans="1:2">
      <c r="A95" t="s">
        <v>105</v>
      </c>
      <c r="B95" s="1"/>
    </row>
    <row r="96" spans="1:2">
      <c r="A96" t="s">
        <v>106</v>
      </c>
      <c r="B96" s="1"/>
    </row>
    <row r="97" spans="1:2">
      <c r="A97" t="s">
        <v>107</v>
      </c>
      <c r="B97" s="1"/>
    </row>
    <row r="98" spans="1:2">
      <c r="A98" t="s">
        <v>108</v>
      </c>
      <c r="B98" s="1"/>
    </row>
    <row r="99" spans="1:2">
      <c r="A99" t="s">
        <v>109</v>
      </c>
      <c r="B99" s="1"/>
    </row>
    <row r="100" spans="1:2">
      <c r="A100" t="s">
        <v>110</v>
      </c>
      <c r="B100" s="1"/>
    </row>
    <row r="101" spans="1:2">
      <c r="A101" t="s">
        <v>111</v>
      </c>
      <c r="B101" s="1"/>
    </row>
    <row r="102" spans="1:2">
      <c r="A102" t="s">
        <v>112</v>
      </c>
      <c r="B102" s="1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01_MainControl.ExtractDataMain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9DE03-E27A-4C91-8ECE-B777071C49D4}">
  <sheetPr codeName="Sheet2"/>
  <dimension ref="B1:G38"/>
  <sheetViews>
    <sheetView workbookViewId="0">
      <selection activeCell="F17" sqref="F17"/>
    </sheetView>
  </sheetViews>
  <sheetFormatPr defaultRowHeight="18.75"/>
  <cols>
    <col min="4" max="4" width="4.5" bestFit="1" customWidth="1"/>
    <col min="5" max="5" width="22.875" bestFit="1" customWidth="1"/>
    <col min="6" max="6" width="31.25" customWidth="1"/>
    <col min="7" max="7" width="23.25" bestFit="1" customWidth="1"/>
  </cols>
  <sheetData>
    <row r="1" spans="2:7">
      <c r="B1" t="s">
        <v>113</v>
      </c>
      <c r="D1" t="str" cm="1">
        <f t="array" ref="D1:G14">_xlfn._xlws.FILTER(Work!$B:$E,Work!$A:$A&lt;&gt;"","")</f>
        <v>No</v>
      </c>
      <c r="E1" t="str">
        <v>エクセルファイル名</v>
      </c>
      <c r="F1" t="str">
        <v>パス</v>
      </c>
      <c r="G1" t="str">
        <v>ファイルの工程パターン</v>
      </c>
    </row>
    <row r="2" spans="2:7">
      <c r="B2" t="s">
        <v>114</v>
      </c>
      <c r="D2">
        <v>1</v>
      </c>
      <c r="E2" t="str">
        <v>2012.4. 週間業務計画表・改1.xls</v>
      </c>
      <c r="F2" t="str">
        <v>\\Nasm01\10\351400000\07．手配\01．保全G\01.月間予定\2024年以前\2012(H24)年度予定表\2012.4. 週間業務計画表・改1.xls</v>
      </c>
      <c r="G2">
        <v>1</v>
      </c>
    </row>
    <row r="3" spans="2:7">
      <c r="B3" t="s">
        <v>115</v>
      </c>
      <c r="D3">
        <v>158</v>
      </c>
      <c r="E3" t="str">
        <v>2025.04 月間予定表.xlsx</v>
      </c>
      <c r="F3" t="str">
        <v>\\Nasm01\10\351400000\07．手配\01．保全G\01.月間予定\2025年度\01.週間予定表\2025.04 月間予定表.xlsx</v>
      </c>
      <c r="G3" t="str">
        <v>2025.04</v>
      </c>
    </row>
    <row r="4" spans="2:7">
      <c r="B4" t="s">
        <v>116</v>
      </c>
      <c r="D4">
        <v>159</v>
      </c>
      <c r="E4" t="str">
        <v>2025.05 月間予定表.xlsx</v>
      </c>
      <c r="F4" t="str">
        <v>\\Nasm01\10\351400000\07．手配\01．保全G\01.月間予定\2025年度\01.週間予定表\2025.05 月間予定表.xlsx</v>
      </c>
      <c r="G4">
        <v>1</v>
      </c>
    </row>
    <row r="5" spans="2:7">
      <c r="B5" t="s">
        <v>117</v>
      </c>
      <c r="D5">
        <v>160</v>
      </c>
      <c r="E5" t="str">
        <v>2025.06 月間予定表.xlsx</v>
      </c>
      <c r="F5" t="str">
        <v>\\Nasm01\10\351400000\07．手配\01．保全G\01.月間予定\2025年度\01.週間予定表\2025.06 月間予定表.xlsx</v>
      </c>
      <c r="G5">
        <v>1</v>
      </c>
    </row>
    <row r="6" spans="2:7">
      <c r="B6" t="s">
        <v>118</v>
      </c>
      <c r="D6">
        <v>161</v>
      </c>
      <c r="E6" t="str">
        <v>2025.07 月間予定表.xlsx</v>
      </c>
      <c r="F6" t="str">
        <v>\\Nasm01\10\351400000\07．手配\01．保全G\01.月間予定\2025年度\01.週間予定表\2025.07 月間予定表.xlsx</v>
      </c>
      <c r="G6">
        <v>1</v>
      </c>
    </row>
    <row r="7" spans="2:7">
      <c r="B7" t="s">
        <v>119</v>
      </c>
      <c r="D7">
        <v>162</v>
      </c>
      <c r="E7" t="str">
        <v>2025.08 月間予定表.xlsx</v>
      </c>
      <c r="F7" t="str">
        <v>\\Nasm01\10\351400000\07．手配\01．保全G\01.月間予定\2025年度\01.週間予定表\2025.08 月間予定表.xlsx</v>
      </c>
      <c r="G7">
        <v>1</v>
      </c>
    </row>
    <row r="8" spans="2:7">
      <c r="B8" t="s">
        <v>120</v>
      </c>
      <c r="D8">
        <v>163</v>
      </c>
      <c r="E8" t="str">
        <v>2025.09 月間予定表.xlsx</v>
      </c>
      <c r="F8" t="str">
        <v>\\Nasm01\10\351400000\07．手配\01．保全G\01.月間予定\2025年度\01.週間予定表\2025.09 月間予定表.xlsx</v>
      </c>
      <c r="G8">
        <v>1</v>
      </c>
    </row>
    <row r="9" spans="2:7">
      <c r="B9" t="s">
        <v>121</v>
      </c>
      <c r="D9">
        <v>164</v>
      </c>
      <c r="E9" t="str">
        <v>2025.10 月間予定表.xlsx</v>
      </c>
      <c r="F9" t="str">
        <v>\\Nasm01\10\351400000\07．手配\01．保全G\01.月間予定\2025年度\01.週間予定表\2025.10 月間予定表.xlsx</v>
      </c>
      <c r="G9">
        <v>1</v>
      </c>
    </row>
    <row r="10" spans="2:7">
      <c r="B10" t="s">
        <v>122</v>
      </c>
      <c r="D10">
        <v>165</v>
      </c>
      <c r="E10" t="str">
        <v>2025.11 月間予定表.xlsx</v>
      </c>
      <c r="F10" t="str">
        <v>\\Nasm01\10\351400000\07．手配\01．保全G\01.月間予定\2025年度\01.週間予定表\2025.11 月間予定表.xlsx</v>
      </c>
      <c r="G10">
        <v>1</v>
      </c>
    </row>
    <row r="11" spans="2:7">
      <c r="B11" t="s">
        <v>123</v>
      </c>
      <c r="D11">
        <v>166</v>
      </c>
      <c r="E11" t="str">
        <v>2025.12 月間予定表.xlsx</v>
      </c>
      <c r="F11" t="str">
        <v>\\Nasm01\10\351400000\07．手配\01．保全G\01.月間予定\2025年度\01.週間予定表\2025.12 月間予定表.xlsx</v>
      </c>
      <c r="G11">
        <v>1</v>
      </c>
    </row>
    <row r="12" spans="2:7">
      <c r="B12" t="s">
        <v>124</v>
      </c>
      <c r="D12">
        <v>167</v>
      </c>
      <c r="E12" t="str">
        <v>2026.01 月間予定表.xlsx</v>
      </c>
      <c r="F12" t="str">
        <v>\\Nasm01\10\351400000\07．手配\01．保全G\01.月間予定\2025年度\01.週間予定表\2026.01 月間予定表.xlsx</v>
      </c>
      <c r="G12">
        <v>1</v>
      </c>
    </row>
    <row r="13" spans="2:7">
      <c r="B13" t="s">
        <v>125</v>
      </c>
      <c r="D13">
        <v>168</v>
      </c>
      <c r="E13" t="str">
        <v>2026.02 月間予定表.xlsx</v>
      </c>
      <c r="F13" t="str">
        <v>\\Nasm01\10\351400000\07．手配\01．保全G\01.月間予定\2025年度\01.週間予定表\2026.02 月間予定表.xlsx</v>
      </c>
      <c r="G13">
        <v>1</v>
      </c>
    </row>
    <row r="14" spans="2:7">
      <c r="B14" t="s">
        <v>126</v>
      </c>
      <c r="D14">
        <v>169</v>
      </c>
      <c r="E14" t="str">
        <v>2026.03 月間予定表.xlsx</v>
      </c>
      <c r="F14" t="str">
        <v>\\Nasm01\10\351400000\07．手配\01．保全G\01.月間予定\2025年度\01.週間予定表\2026.03 月間予定表.xlsx</v>
      </c>
      <c r="G14">
        <v>1</v>
      </c>
    </row>
    <row r="15" spans="2:7">
      <c r="B15" t="s">
        <v>127</v>
      </c>
    </row>
    <row r="16" spans="2:7">
      <c r="B16" t="s">
        <v>128</v>
      </c>
    </row>
    <row r="17" spans="2:2">
      <c r="B17" t="s">
        <v>129</v>
      </c>
    </row>
    <row r="18" spans="2:2">
      <c r="B18" t="s">
        <v>130</v>
      </c>
    </row>
    <row r="22" spans="2:2">
      <c r="B22" t="s">
        <v>131</v>
      </c>
    </row>
    <row r="23" spans="2:2">
      <c r="B23" t="s">
        <v>132</v>
      </c>
    </row>
    <row r="24" spans="2:2">
      <c r="B24" t="s">
        <v>133</v>
      </c>
    </row>
    <row r="25" spans="2:2">
      <c r="B25" t="s">
        <v>134</v>
      </c>
    </row>
    <row r="26" spans="2:2">
      <c r="B26" t="s">
        <v>135</v>
      </c>
    </row>
    <row r="27" spans="2:2">
      <c r="B27" t="s">
        <v>136</v>
      </c>
    </row>
    <row r="28" spans="2:2">
      <c r="B28" t="s">
        <v>137</v>
      </c>
    </row>
    <row r="29" spans="2:2">
      <c r="B29" t="s">
        <v>138</v>
      </c>
    </row>
    <row r="30" spans="2:2">
      <c r="B30" t="s">
        <v>139</v>
      </c>
    </row>
    <row r="31" spans="2:2">
      <c r="B31" t="s">
        <v>140</v>
      </c>
    </row>
    <row r="32" spans="2:2">
      <c r="B32" t="s">
        <v>141</v>
      </c>
    </row>
    <row r="33" spans="2:2">
      <c r="B33" t="s">
        <v>142</v>
      </c>
    </row>
    <row r="34" spans="2:2">
      <c r="B34" t="s">
        <v>143</v>
      </c>
    </row>
    <row r="35" spans="2:2">
      <c r="B35" t="s">
        <v>144</v>
      </c>
    </row>
    <row r="36" spans="2:2">
      <c r="B36" t="s">
        <v>145</v>
      </c>
    </row>
    <row r="37" spans="2:2">
      <c r="B37" t="s">
        <v>146</v>
      </c>
    </row>
    <row r="38" spans="2:2">
      <c r="B38" t="s">
        <v>147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819ED-4A06-43CD-8AF8-2BD9142A54E1}">
  <sheetPr codeName="Sheet3"/>
  <dimension ref="A2:Q2"/>
  <sheetViews>
    <sheetView workbookViewId="0"/>
  </sheetViews>
  <sheetFormatPr defaultRowHeight="18.75"/>
  <sheetData>
    <row r="2" spans="1:17">
      <c r="A2" s="2" t="s">
        <v>148</v>
      </c>
      <c r="B2" s="2" t="s">
        <v>149</v>
      </c>
      <c r="C2" s="2" t="s">
        <v>150</v>
      </c>
      <c r="D2" s="2" t="s">
        <v>151</v>
      </c>
      <c r="E2" s="2" t="s">
        <v>152</v>
      </c>
      <c r="F2" s="2" t="s">
        <v>153</v>
      </c>
      <c r="G2" s="2" t="s">
        <v>154</v>
      </c>
      <c r="H2" s="2" t="s">
        <v>155</v>
      </c>
      <c r="I2" s="2" t="s">
        <v>156</v>
      </c>
      <c r="J2" s="2" t="s">
        <v>157</v>
      </c>
      <c r="K2" s="2" t="s">
        <v>158</v>
      </c>
      <c r="L2" s="2" t="s">
        <v>159</v>
      </c>
      <c r="M2" s="2" t="s">
        <v>160</v>
      </c>
      <c r="N2" s="2" t="s">
        <v>161</v>
      </c>
      <c r="O2" s="2" t="s">
        <v>162</v>
      </c>
      <c r="P2" s="2" t="s">
        <v>163</v>
      </c>
      <c r="Q2" s="2" t="s">
        <v>164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809D4-443B-484F-95B1-49715E9D87B3}">
  <sheetPr codeName="Sheet4"/>
  <dimension ref="A1:AD1225"/>
  <sheetViews>
    <sheetView topLeftCell="I794" workbookViewId="0">
      <selection activeCell="N811" sqref="N811"/>
    </sheetView>
  </sheetViews>
  <sheetFormatPr defaultColWidth="0" defaultRowHeight="18.75" zeroHeight="1"/>
  <cols>
    <col min="1" max="10" width="9" customWidth="1"/>
    <col min="11" max="11" width="5.25" bestFit="1" customWidth="1"/>
    <col min="12" max="12" width="21.375" bestFit="1" customWidth="1"/>
    <col min="13" max="13" width="18.625" customWidth="1"/>
    <col min="14" max="14" width="23.875" customWidth="1"/>
    <col min="15" max="24" width="12.375" customWidth="1"/>
    <col min="25" max="25" width="15.25" bestFit="1" customWidth="1"/>
    <col min="26" max="30" width="9" customWidth="1"/>
    <col min="31" max="16384" width="9" hidden="1"/>
  </cols>
  <sheetData>
    <row r="1" spans="1:25">
      <c r="A1" t="s">
        <v>593</v>
      </c>
      <c r="B1" t="str" cm="1">
        <f t="array" ref="B1:V1">SUBSTITUTE(SUBSTITUTE(ADDRESS(1, _xlfn.SEQUENCE(1, 21, COLUMN(B1), 1)), "$", ""),"1","列")</f>
        <v>B列</v>
      </c>
      <c r="C1" t="str">
        <v>C列</v>
      </c>
      <c r="D1" t="str">
        <v>D列</v>
      </c>
      <c r="E1" t="str">
        <v>E列</v>
      </c>
      <c r="F1" t="str">
        <v>F列</v>
      </c>
      <c r="G1" t="str">
        <v>G列</v>
      </c>
      <c r="H1" t="str">
        <v>H列</v>
      </c>
      <c r="I1" t="str">
        <v>I列</v>
      </c>
      <c r="J1" t="str">
        <v>J列</v>
      </c>
      <c r="K1" t="str">
        <v>K列</v>
      </c>
      <c r="L1" t="str">
        <v>L列</v>
      </c>
      <c r="M1" t="str">
        <v>M列</v>
      </c>
      <c r="N1" t="str">
        <v>N列</v>
      </c>
      <c r="O1" t="str">
        <v>O列</v>
      </c>
      <c r="P1" t="str">
        <v>P列</v>
      </c>
      <c r="Q1" t="str">
        <v>Q列</v>
      </c>
      <c r="R1" t="str">
        <v>R列</v>
      </c>
      <c r="S1" t="str">
        <v>S列</v>
      </c>
      <c r="T1" t="str">
        <v>T列</v>
      </c>
      <c r="U1" t="str">
        <v>U列</v>
      </c>
      <c r="V1" t="str">
        <v>V列</v>
      </c>
    </row>
    <row r="2" spans="1:25">
      <c r="A2" t="str" cm="1">
        <f t="array" ref="A2:A1201">_xlfn.SEQUENCE(1200, 1, 2, 1) &amp; "行"</f>
        <v>2行</v>
      </c>
      <c r="B2" t="str" cm="1">
        <f t="array" aca="1" ref="B2:B1121" ca="1">IF(N2:N1121="","","- "&amp;ADDRESS(ROW(O2:O1121),COLUMN(O2:O1121),4)&amp;"："&amp;N2:N1121&amp;"（現在の内容："&amp;IF(O2:O1121="",""""&amp;"""",O2:O1121)&amp;"）")</f>
        <v/>
      </c>
      <c r="C2" t="str" cm="1">
        <f t="array" aca="1" ref="C2:C403" ca="1">_xlfn._xlws.FILTER(B:B,B:B&lt;&gt;"")</f>
        <v>B列</v>
      </c>
    </row>
    <row r="3" spans="1:25">
      <c r="A3" t="str">
        <v>3行</v>
      </c>
      <c r="B3" t="str">
        <f ca="1"/>
        <v>- O3：デバッグモード（現在の内容：TRUE）</v>
      </c>
      <c r="C3" t="str">
        <f ca="1"/>
        <v>- O3：デバッグモード（現在の内容：TRUE）</v>
      </c>
      <c r="N3" t="s">
        <v>1115</v>
      </c>
      <c r="O3" s="21" t="b">
        <v>1</v>
      </c>
      <c r="P3" t="s">
        <v>1116</v>
      </c>
    </row>
    <row r="4" spans="1:25">
      <c r="A4" t="str">
        <v>4行</v>
      </c>
      <c r="B4" t="str">
        <f ca="1"/>
        <v/>
      </c>
      <c r="C4" t="str">
        <f ca="1"/>
        <v>- O12：予定表保存フォルダパス（現在の内容：\\Nasm01\10\351400000\07．手配\01．保全G\01.月間予定\2025年度\01.週間予定表）</v>
      </c>
    </row>
    <row r="5" spans="1:25">
      <c r="A5" t="str">
        <v>5行</v>
      </c>
      <c r="B5" t="str">
        <f ca="1"/>
        <v/>
      </c>
      <c r="C5" t="str">
        <f ca="1"/>
        <v>- O31：メニュー（現在の内容：メニュー）</v>
      </c>
    </row>
    <row r="6" spans="1:25">
      <c r="A6" t="str">
        <v>6行</v>
      </c>
      <c r="B6" t="str">
        <f ca="1"/>
        <v/>
      </c>
      <c r="C6" t="str">
        <f ca="1"/>
        <v>- O32：リスト（現在の内容：リスト）</v>
      </c>
    </row>
    <row r="7" spans="1:25">
      <c r="A7" t="str">
        <v>7行</v>
      </c>
      <c r="B7" t="str">
        <f ca="1"/>
        <v/>
      </c>
      <c r="C7" t="str">
        <f ca="1"/>
        <v>- O43：抽出出力シート名（現在の内容：一覧）</v>
      </c>
    </row>
    <row r="8" spans="1:25">
      <c r="A8" t="str">
        <v>8行</v>
      </c>
      <c r="B8" t="str">
        <f ca="1"/>
        <v/>
      </c>
      <c r="C8" t="str">
        <f ca="1"/>
        <v>- O44：検索条件のログ名（現在の内容：FiltersLog）</v>
      </c>
    </row>
    <row r="9" spans="1:25">
      <c r="A9" t="str">
        <v>9行</v>
      </c>
      <c r="B9" t="str">
        <f ca="1"/>
        <v/>
      </c>
      <c r="C9" t="str">
        <f ca="1"/>
        <v>- O45：プログラムエラーログシート名（現在の内容：ErrorLog）</v>
      </c>
    </row>
    <row r="10" spans="1:25">
      <c r="A10" t="str">
        <v>10行</v>
      </c>
      <c r="B10" t="str">
        <f ca="1"/>
        <v/>
      </c>
      <c r="C10" t="str">
        <f ca="1"/>
        <v>- O46：設定ファイルシート名（現在の内容：Config）</v>
      </c>
    </row>
    <row r="11" spans="1:25">
      <c r="A11" t="str">
        <v>11行</v>
      </c>
      <c r="B11" t="str">
        <f ca="1"/>
        <v/>
      </c>
      <c r="C11" t="str">
        <f ca="1"/>
        <v>- O47：各工程表のフォーマット管理シート名（現在の内容：Work）</v>
      </c>
      <c r="P11" t="s">
        <v>594</v>
      </c>
      <c r="Q11" t="s">
        <v>595</v>
      </c>
      <c r="R11" t="s">
        <v>596</v>
      </c>
    </row>
    <row r="12" spans="1:25">
      <c r="A12" t="str">
        <v>12行</v>
      </c>
      <c r="B12" t="str">
        <f ca="1"/>
        <v>- O12：予定表保存フォルダパス（現在の内容：\\Nasm01\10\351400000\07．手配\01．保全G\01.月間予定\2025年度\01.週間予定表）</v>
      </c>
      <c r="C12" t="str">
        <f ca="1"/>
        <v>- O49：[修正前] 設定ファイル（現在の内容：Config (2)）</v>
      </c>
      <c r="N12" t="s">
        <v>597</v>
      </c>
      <c r="O12" s="10" t="s">
        <v>598</v>
      </c>
      <c r="R12" t="s">
        <v>599</v>
      </c>
      <c r="Y12" t="s">
        <v>600</v>
      </c>
    </row>
    <row r="13" spans="1:25">
      <c r="A13" t="str">
        <v>13行</v>
      </c>
      <c r="B13" t="str">
        <f ca="1"/>
        <v/>
      </c>
      <c r="C13" t="str">
        <f ca="1"/>
        <v>- O66：シート名_1（現在の内容：第1週）</v>
      </c>
    </row>
    <row r="14" spans="1:25">
      <c r="A14" t="str">
        <v>14行</v>
      </c>
      <c r="B14" t="str">
        <f ca="1"/>
        <v/>
      </c>
      <c r="C14" t="str">
        <f ca="1"/>
        <v>- O67：シート名_2（現在の内容：第2週）</v>
      </c>
    </row>
    <row r="15" spans="1:25">
      <c r="A15" t="str">
        <v>15行</v>
      </c>
      <c r="B15" t="str">
        <f ca="1"/>
        <v/>
      </c>
      <c r="C15" t="str">
        <f ca="1"/>
        <v>- O68：シート名_3（現在の内容：第3週）</v>
      </c>
    </row>
    <row r="16" spans="1:25">
      <c r="A16" t="str">
        <v>16行</v>
      </c>
      <c r="B16" t="str">
        <f ca="1"/>
        <v/>
      </c>
      <c r="C16" t="str">
        <f ca="1"/>
        <v>- O69：シート名_4（現在の内容：第4週）</v>
      </c>
    </row>
    <row r="17" spans="1:18">
      <c r="A17" t="str">
        <v>17行</v>
      </c>
      <c r="B17" t="str">
        <f ca="1"/>
        <v/>
      </c>
      <c r="C17" t="str">
        <f ca="1"/>
        <v>- O70：シート名_5（現在の内容：第5週）</v>
      </c>
    </row>
    <row r="18" spans="1:18">
      <c r="A18" t="str">
        <v>18行</v>
      </c>
      <c r="B18" t="str">
        <f ca="1"/>
        <v/>
      </c>
      <c r="C18" t="str">
        <f ca="1"/>
        <v>- O71：シート名_6（現在の内容：""）</v>
      </c>
    </row>
    <row r="19" spans="1:18">
      <c r="A19" t="str">
        <v>19行</v>
      </c>
      <c r="B19" t="str">
        <f ca="1"/>
        <v/>
      </c>
      <c r="C19" t="str">
        <f ca="1"/>
        <v>- O72：シート名_7（現在の内容：""）</v>
      </c>
    </row>
    <row r="20" spans="1:18">
      <c r="A20" t="str">
        <v>20行</v>
      </c>
      <c r="B20" t="str">
        <f ca="1"/>
        <v/>
      </c>
      <c r="C20" t="str">
        <f ca="1"/>
        <v>- O73：シート名_8（現在の内容：""）</v>
      </c>
    </row>
    <row r="21" spans="1:18">
      <c r="A21" t="str">
        <v>21行</v>
      </c>
      <c r="B21" t="str">
        <f ca="1"/>
        <v/>
      </c>
      <c r="C21" t="str">
        <f ca="1"/>
        <v>- O74：シート名_9（現在の内容：""）</v>
      </c>
    </row>
    <row r="22" spans="1:18">
      <c r="A22" t="str">
        <v>22行</v>
      </c>
      <c r="B22" t="str">
        <f ca="1"/>
        <v/>
      </c>
      <c r="C22" t="str">
        <f ca="1"/>
        <v>- O75：シート名_10（現在の内容：""）</v>
      </c>
    </row>
    <row r="23" spans="1:18">
      <c r="A23" t="str">
        <v>23行</v>
      </c>
      <c r="B23" t="str">
        <f ca="1"/>
        <v/>
      </c>
      <c r="C23" t="str">
        <f ca="1"/>
        <v>- O87：工程表ヘッダー行数（現在の内容：3）</v>
      </c>
    </row>
    <row r="24" spans="1:18">
      <c r="A24" t="str">
        <v>24行</v>
      </c>
      <c r="B24" t="str">
        <f ca="1"/>
        <v/>
      </c>
      <c r="C24" t="str">
        <f ca="1"/>
        <v>- O88：工程表ヘッダー列数（現在の内容：1）</v>
      </c>
    </row>
    <row r="25" spans="1:18">
      <c r="A25" t="str">
        <v>25行</v>
      </c>
      <c r="B25" t="str">
        <f ca="1"/>
        <v/>
      </c>
      <c r="C25" t="str">
        <f ca="1"/>
        <v>- O89：1日の行数（現在の内容：8）</v>
      </c>
    </row>
    <row r="26" spans="1:18">
      <c r="A26" t="str">
        <v>26行</v>
      </c>
      <c r="B26" t="str">
        <f ca="1"/>
        <v/>
      </c>
      <c r="C26" t="str">
        <f ca="1"/>
        <v>- O90：1週間の日数（現在の内容：7）</v>
      </c>
    </row>
    <row r="27" spans="1:18">
      <c r="A27" t="str">
        <v>27行</v>
      </c>
      <c r="B27" t="str">
        <f ca="1"/>
        <v/>
      </c>
      <c r="C27" t="str">
        <f ca="1"/>
        <v>- O101：年の取得場所（現在の内容：FR2）</v>
      </c>
    </row>
    <row r="28" spans="1:18">
      <c r="A28" t="str">
        <v>28行</v>
      </c>
      <c r="B28" t="str">
        <f ca="1"/>
        <v/>
      </c>
      <c r="C28" t="str">
        <f ca="1"/>
        <v>- O102：月の取得場所（現在の内容：GB2）</v>
      </c>
    </row>
    <row r="29" spans="1:18" s="9" customFormat="1" ht="19.5" thickBot="1">
      <c r="A29" s="9" t="str">
        <v>29行</v>
      </c>
      <c r="B29" t="str">
        <f ca="1"/>
        <v/>
      </c>
      <c r="C29" s="9" t="str">
        <f ca="1"/>
        <v>- O103：日の取得位置（現在の内容：A）</v>
      </c>
    </row>
    <row r="30" spans="1:18" ht="19.5" thickTop="1">
      <c r="A30" t="str">
        <v>30行</v>
      </c>
      <c r="B30" t="str">
        <f ca="1"/>
        <v/>
      </c>
      <c r="C30" t="str">
        <f ca="1"/>
        <v>- O104：日の取得位置（現在の内容：3）</v>
      </c>
    </row>
    <row r="31" spans="1:18">
      <c r="A31" t="str">
        <v>31行</v>
      </c>
      <c r="B31" t="str">
        <f ca="1"/>
        <v>- O31：メニュー（現在の内容：メニュー）</v>
      </c>
      <c r="C31" t="str">
        <f ca="1"/>
        <v>- O114：1日の工程数（現在の内容：39）</v>
      </c>
      <c r="L31" t="s">
        <v>601</v>
      </c>
      <c r="N31" t="s">
        <v>602</v>
      </c>
      <c r="O31" s="16" t="s">
        <v>602</v>
      </c>
      <c r="P31" t="s">
        <v>603</v>
      </c>
      <c r="R31" t="s">
        <v>604</v>
      </c>
    </row>
    <row r="32" spans="1:18">
      <c r="A32" t="str">
        <v>32行</v>
      </c>
      <c r="B32" t="str">
        <f ca="1"/>
        <v>- O32：リスト（現在の内容：リスト）</v>
      </c>
      <c r="C32" t="str">
        <f ca="1"/>
        <v>- O122：Workシートからの抽出後の再計算（現在の内容：TRUE）</v>
      </c>
      <c r="N32" t="s">
        <v>605</v>
      </c>
      <c r="O32" s="16" t="s">
        <v>605</v>
      </c>
      <c r="P32" t="s">
        <v>603</v>
      </c>
      <c r="R32" t="s">
        <v>606</v>
      </c>
    </row>
    <row r="33" spans="1:18">
      <c r="A33" t="str">
        <v>33行</v>
      </c>
      <c r="B33" t="str">
        <f ca="1"/>
        <v/>
      </c>
      <c r="C33" t="str">
        <f ca="1"/>
        <v>- O123：処理工程表ファイルNo（現在の内容：1）</v>
      </c>
    </row>
    <row r="34" spans="1:18">
      <c r="A34" t="str">
        <v>34行</v>
      </c>
      <c r="B34" t="str">
        <f ca="1"/>
        <v/>
      </c>
      <c r="C34" t="str">
        <f ca="1"/>
        <v>- O124：ファイル名（現在の内容：2025.04 月間予定表.xlsx）</v>
      </c>
    </row>
    <row r="35" spans="1:18">
      <c r="A35" t="str">
        <v>35行</v>
      </c>
      <c r="B35" t="str">
        <f ca="1"/>
        <v/>
      </c>
      <c r="C35" t="str">
        <f ca="1"/>
        <v>- O125：ファイルパス（現在の内容：\\Nasm01\10\351400000\07．手配\01．保全G\01.月間予定\2025年度\01.週間予定表\2025.04 月間予定表.xlsx）</v>
      </c>
    </row>
    <row r="36" spans="1:18">
      <c r="A36" t="str">
        <v>36行</v>
      </c>
      <c r="B36" t="str">
        <f ca="1"/>
        <v/>
      </c>
      <c r="C36" t="str">
        <f ca="1"/>
        <v>- O126：シートの工程パターン（現在の内容：1）</v>
      </c>
    </row>
    <row r="37" spans="1:18">
      <c r="A37" t="str">
        <v>37行</v>
      </c>
      <c r="B37" t="str">
        <f ca="1"/>
        <v/>
      </c>
      <c r="C37" t="str">
        <f ca="1"/>
        <v>- O128：分類3（現在の内容：シート名_1）</v>
      </c>
    </row>
    <row r="38" spans="1:18">
      <c r="A38" t="str">
        <v>38行</v>
      </c>
      <c r="B38" t="str">
        <f ca="1"/>
        <v/>
      </c>
      <c r="C38" t="str">
        <f ca="1"/>
        <v>- O242：作業員_検索方法（現在の内容：""）</v>
      </c>
    </row>
    <row r="39" spans="1:18">
      <c r="A39" t="str">
        <v>39行</v>
      </c>
      <c r="B39" t="str">
        <f ca="1"/>
        <v/>
      </c>
      <c r="C39" t="str">
        <f ca="1"/>
        <v>- O243：作業員_1（現在の内容：""）</v>
      </c>
    </row>
    <row r="40" spans="1:18">
      <c r="A40" t="str">
        <v>40行</v>
      </c>
      <c r="B40" t="str">
        <f ca="1"/>
        <v/>
      </c>
      <c r="C40" t="str">
        <f ca="1"/>
        <v>- O244：作業員_2（現在の内容：""）</v>
      </c>
    </row>
    <row r="41" spans="1:18">
      <c r="A41" t="str">
        <v>41行</v>
      </c>
      <c r="B41" t="str">
        <f ca="1"/>
        <v/>
      </c>
      <c r="C41" t="str">
        <f ca="1"/>
        <v>- O245：作業員_3（現在の内容：""）</v>
      </c>
    </row>
    <row r="42" spans="1:18">
      <c r="A42" t="str">
        <v>42行</v>
      </c>
      <c r="B42" t="str">
        <f ca="1"/>
        <v/>
      </c>
      <c r="C42" t="str">
        <f ca="1"/>
        <v>- O246：作業員_4（現在の内容：""）</v>
      </c>
    </row>
    <row r="43" spans="1:18">
      <c r="A43" t="str">
        <v>43行</v>
      </c>
      <c r="B43" t="str">
        <f ca="1"/>
        <v>- O43：抽出出力シート名（現在の内容：一覧）</v>
      </c>
      <c r="C43" t="str">
        <f ca="1"/>
        <v>- O247：作業員_5（現在の内容：""）</v>
      </c>
      <c r="M43" t="s">
        <v>607</v>
      </c>
      <c r="N43" t="s">
        <v>608</v>
      </c>
      <c r="O43" s="6" t="s">
        <v>609</v>
      </c>
      <c r="R43" t="s">
        <v>610</v>
      </c>
    </row>
    <row r="44" spans="1:18">
      <c r="A44" t="str">
        <v>44行</v>
      </c>
      <c r="B44" t="str">
        <f ca="1"/>
        <v>- O44：検索条件のログ名（現在の内容：FiltersLog）</v>
      </c>
      <c r="C44" t="str">
        <f ca="1"/>
        <v>- O248：作業員_6（現在の内容：""）</v>
      </c>
      <c r="N44" t="s">
        <v>611</v>
      </c>
      <c r="O44" s="6" t="s">
        <v>612</v>
      </c>
    </row>
    <row r="45" spans="1:18">
      <c r="A45" t="str">
        <v>45行</v>
      </c>
      <c r="B45" t="str">
        <f ca="1"/>
        <v>- O45：プログラムエラーログシート名（現在の内容：ErrorLog）</v>
      </c>
      <c r="C45" t="str">
        <f ca="1"/>
        <v>- O249：作業員_7（現在の内容：""）</v>
      </c>
      <c r="N45" t="s">
        <v>613</v>
      </c>
      <c r="O45" s="6" t="s">
        <v>614</v>
      </c>
    </row>
    <row r="46" spans="1:18">
      <c r="A46" t="str">
        <v>46行</v>
      </c>
      <c r="B46" t="str">
        <f ca="1"/>
        <v>- O46：設定ファイルシート名（現在の内容：Config）</v>
      </c>
      <c r="C46" t="str">
        <f ca="1"/>
        <v>- O250：作業員_8（現在の内容：""）</v>
      </c>
      <c r="N46" t="s">
        <v>615</v>
      </c>
      <c r="O46" s="16" t="s">
        <v>616</v>
      </c>
      <c r="P46" t="s">
        <v>603</v>
      </c>
    </row>
    <row r="47" spans="1:18">
      <c r="A47" t="str">
        <v>47行</v>
      </c>
      <c r="B47" t="str">
        <f ca="1"/>
        <v>- O47：各工程表のフォーマット管理シート名（現在の内容：Work）</v>
      </c>
      <c r="C47" t="str">
        <f ca="1"/>
        <v>- O251：作業員_9（現在の内容：""）</v>
      </c>
      <c r="N47" t="s">
        <v>617</v>
      </c>
      <c r="O47" s="16" t="s">
        <v>618</v>
      </c>
      <c r="P47" t="s">
        <v>603</v>
      </c>
    </row>
    <row r="48" spans="1:18">
      <c r="A48" t="str">
        <v>48行</v>
      </c>
      <c r="B48" t="str">
        <f ca="1"/>
        <v/>
      </c>
      <c r="C48" t="str">
        <f ca="1"/>
        <v>- O252：作業員_10（現在の内容：""）</v>
      </c>
    </row>
    <row r="49" spans="1:16">
      <c r="A49" t="str">
        <v>49行</v>
      </c>
      <c r="B49" t="str">
        <f ca="1"/>
        <v>- O49：[修正前] 設定ファイル（現在の内容：Config (2)）</v>
      </c>
      <c r="C49" t="str">
        <f ca="1"/>
        <v>- O253：作業員_11（現在の内容：""）</v>
      </c>
      <c r="N49" t="s">
        <v>619</v>
      </c>
      <c r="O49" s="16" t="s">
        <v>620</v>
      </c>
      <c r="P49" t="s">
        <v>596</v>
      </c>
    </row>
    <row r="50" spans="1:16">
      <c r="A50" t="str">
        <v>50行</v>
      </c>
      <c r="B50" t="str">
        <f ca="1"/>
        <v/>
      </c>
      <c r="C50" t="str">
        <f ca="1"/>
        <v>- O254：作業員_12（現在の内容：""）</v>
      </c>
    </row>
    <row r="51" spans="1:16">
      <c r="A51" t="str">
        <v>51行</v>
      </c>
      <c r="B51" t="str">
        <f ca="1"/>
        <v/>
      </c>
      <c r="C51" t="str">
        <f ca="1"/>
        <v>- O255：作業員_13（現在の内容：""）</v>
      </c>
    </row>
    <row r="52" spans="1:16">
      <c r="A52" t="str">
        <v>52行</v>
      </c>
      <c r="B52" t="str">
        <f ca="1"/>
        <v/>
      </c>
      <c r="C52" t="str">
        <f ca="1"/>
        <v>- O256：作業員_14（現在の内容：""）</v>
      </c>
    </row>
    <row r="53" spans="1:16">
      <c r="A53" t="str">
        <v>53行</v>
      </c>
      <c r="B53" t="str">
        <f ca="1"/>
        <v/>
      </c>
      <c r="C53" t="str">
        <f ca="1"/>
        <v>- O257：作業員_15（現在の内容：""）</v>
      </c>
    </row>
    <row r="54" spans="1:16">
      <c r="A54" t="str">
        <v>54行</v>
      </c>
      <c r="B54" t="str">
        <f ca="1"/>
        <v/>
      </c>
      <c r="C54" t="str">
        <f ca="1"/>
        <v>- O258：作業員_16（現在の内容：""）</v>
      </c>
    </row>
    <row r="55" spans="1:16">
      <c r="A55" t="str">
        <v>55行</v>
      </c>
      <c r="B55" t="str">
        <f ca="1"/>
        <v/>
      </c>
      <c r="C55" t="str">
        <f ca="1"/>
        <v>- O259：作業員_17（現在の内容：""）</v>
      </c>
    </row>
    <row r="56" spans="1:16">
      <c r="A56" t="str">
        <v>56行</v>
      </c>
      <c r="B56" t="str">
        <f ca="1"/>
        <v/>
      </c>
      <c r="C56" t="str">
        <f ca="1"/>
        <v>- O260：作業員_18（現在の内容：""）</v>
      </c>
    </row>
    <row r="57" spans="1:16">
      <c r="A57" t="str">
        <v>57行</v>
      </c>
      <c r="B57" t="str">
        <f ca="1"/>
        <v/>
      </c>
      <c r="C57" t="str">
        <f ca="1"/>
        <v>- O261：作業員_19（現在の内容：""）</v>
      </c>
    </row>
    <row r="58" spans="1:16">
      <c r="A58" t="str">
        <v>58行</v>
      </c>
      <c r="B58" t="str">
        <f ca="1"/>
        <v/>
      </c>
      <c r="C58" t="str">
        <f ca="1"/>
        <v>- O262：作業員_20（現在の内容：""）</v>
      </c>
    </row>
    <row r="59" spans="1:16">
      <c r="A59" t="str">
        <v>59行</v>
      </c>
      <c r="B59" t="str">
        <f ca="1"/>
        <v/>
      </c>
      <c r="C59" t="str">
        <f ca="1"/>
        <v>- O275：管内1_1（現在の内容：""）</v>
      </c>
    </row>
    <row r="60" spans="1:16">
      <c r="A60" t="str">
        <v>60行</v>
      </c>
      <c r="B60" t="str">
        <f ca="1"/>
        <v/>
      </c>
      <c r="C60" t="str">
        <f ca="1"/>
        <v>- O276：管内1_2（現在の内容：""）</v>
      </c>
    </row>
    <row r="61" spans="1:16">
      <c r="A61" t="str">
        <v>61行</v>
      </c>
      <c r="B61" t="str">
        <f ca="1"/>
        <v/>
      </c>
      <c r="C61" t="str">
        <f ca="1"/>
        <v>- O277：管内1_3（現在の内容：""）</v>
      </c>
    </row>
    <row r="62" spans="1:16">
      <c r="A62" t="str">
        <v>62行</v>
      </c>
      <c r="B62" t="str">
        <f ca="1"/>
        <v/>
      </c>
      <c r="C62" t="str">
        <f ca="1"/>
        <v>- O278：管内1_4（現在の内容：""）</v>
      </c>
    </row>
    <row r="63" spans="1:16">
      <c r="A63" t="str">
        <v>63行</v>
      </c>
      <c r="B63" t="str">
        <f ca="1"/>
        <v/>
      </c>
      <c r="C63" t="str">
        <f ca="1"/>
        <v>- O279：管内1_5（現在の内容：""）</v>
      </c>
    </row>
    <row r="64" spans="1:16" s="9" customFormat="1" ht="19.5" thickBot="1">
      <c r="A64" t="str">
        <v>64行</v>
      </c>
      <c r="B64" t="str">
        <f ca="1"/>
        <v/>
      </c>
      <c r="C64" s="9" t="str">
        <f ca="1"/>
        <v>- O280：管内1_6（現在の内容：""）</v>
      </c>
    </row>
    <row r="65" spans="1:17" ht="19.5" thickTop="1">
      <c r="A65" t="str">
        <v>65行</v>
      </c>
      <c r="B65" t="str">
        <f ca="1"/>
        <v/>
      </c>
      <c r="C65" t="str">
        <f ca="1"/>
        <v>- O281：管内1_7（現在の内容：""）</v>
      </c>
    </row>
    <row r="66" spans="1:17">
      <c r="A66" t="str">
        <v>66行</v>
      </c>
      <c r="B66" t="str">
        <f ca="1"/>
        <v>- O66：シート名_1（現在の内容：第1週）</v>
      </c>
      <c r="C66" t="str">
        <f ca="1"/>
        <v>- O282：管内1_8（現在の内容：""）</v>
      </c>
      <c r="L66" t="s">
        <v>621</v>
      </c>
      <c r="M66" t="s">
        <v>622</v>
      </c>
      <c r="N66" t="s">
        <v>172</v>
      </c>
      <c r="O66" s="6" t="str" cm="1">
        <f t="array" ref="O66:O75">IFERROR(IF(ISBLANK(INDEX(Work!$R:$R, SMALL(IF((Work!$G:$G=$O$126)*(ISNUMBER(MATCH(Work!$Q:$Q, $N66:$N75, 0))), ROW(Work!$G:$G)), _xlfn.SEQUENCE(ROWS(_xlfn._xlws.FILTER(ROW(Work!$G:$G), (Work!$G:$G=$O$126)*(ISNUMBER(MATCH(Work!$Q:$Q, $N66:$N75, 0))), "")))), 1)), "", INDEX(Work!$R:$R, SMALL(IF((Work!$G:$G=$O$126)*(ISNUMBER(MATCH(Work!$Q:$Q, $N66:$N75, 0))), ROW(Work!$G:$G)), _xlfn.SEQUENCE(ROWS(_xlfn._xlws.FILTER(ROW(Work!$G:$G), (Work!$G:$G=$O$126)*(ISNUMBER(MATCH(Work!$Q:$Q, $N66:$N75, 0))), "")))), 1)), "")</f>
        <v>第1週</v>
      </c>
      <c r="Q66" t="s">
        <v>185</v>
      </c>
    </row>
    <row r="67" spans="1:17">
      <c r="A67" t="str">
        <v>67行</v>
      </c>
      <c r="B67" t="str">
        <f ca="1"/>
        <v>- O67：シート名_2（現在の内容：第2週）</v>
      </c>
      <c r="C67" t="str">
        <f ca="1"/>
        <v>- O283：管内1_9（現在の内容：""）</v>
      </c>
      <c r="N67" t="s">
        <v>173</v>
      </c>
      <c r="O67" s="6" t="str">
        <v>第2週</v>
      </c>
      <c r="Q67" t="s">
        <v>185</v>
      </c>
    </row>
    <row r="68" spans="1:17">
      <c r="A68" t="str">
        <v>68行</v>
      </c>
      <c r="B68" t="str">
        <f ca="1"/>
        <v>- O68：シート名_3（現在の内容：第3週）</v>
      </c>
      <c r="C68" t="str">
        <f ca="1"/>
        <v>- O284：管内1_10（現在の内容：""）</v>
      </c>
      <c r="N68" t="s">
        <v>174</v>
      </c>
      <c r="O68" s="6" t="str">
        <v>第3週</v>
      </c>
      <c r="Q68" t="s">
        <v>185</v>
      </c>
    </row>
    <row r="69" spans="1:17">
      <c r="A69" t="str">
        <v>69行</v>
      </c>
      <c r="B69" t="str">
        <f ca="1"/>
        <v>- O69：シート名_4（現在の内容：第4週）</v>
      </c>
      <c r="C69" t="str">
        <f ca="1"/>
        <v>- O285：管内1_11（現在の内容：""）</v>
      </c>
      <c r="N69" t="s">
        <v>175</v>
      </c>
      <c r="O69" s="6" t="str">
        <v>第4週</v>
      </c>
      <c r="Q69" t="s">
        <v>185</v>
      </c>
    </row>
    <row r="70" spans="1:17">
      <c r="A70" t="str">
        <v>70行</v>
      </c>
      <c r="B70" t="str">
        <f ca="1"/>
        <v>- O70：シート名_5（現在の内容：第5週）</v>
      </c>
      <c r="C70" t="str">
        <f ca="1"/>
        <v>- O286：管内1_12（現在の内容：""）</v>
      </c>
      <c r="N70" t="s">
        <v>176</v>
      </c>
      <c r="O70" s="6" t="str">
        <v>第5週</v>
      </c>
      <c r="Q70" t="s">
        <v>185</v>
      </c>
    </row>
    <row r="71" spans="1:17">
      <c r="A71" t="str">
        <v>71行</v>
      </c>
      <c r="B71" t="str">
        <f ca="1"/>
        <v>- O71：シート名_6（現在の内容：""）</v>
      </c>
      <c r="C71" t="str">
        <f ca="1"/>
        <v>- O287：管内1_13（現在の内容：""）</v>
      </c>
      <c r="N71" t="s">
        <v>177</v>
      </c>
      <c r="O71" s="6" t="str">
        <v/>
      </c>
      <c r="Q71" t="s">
        <v>185</v>
      </c>
    </row>
    <row r="72" spans="1:17">
      <c r="A72" t="str">
        <v>72行</v>
      </c>
      <c r="B72" t="str">
        <f ca="1"/>
        <v>- O72：シート名_7（現在の内容：""）</v>
      </c>
      <c r="C72" t="str">
        <f ca="1"/>
        <v>- O288：管内1_14（現在の内容：""）</v>
      </c>
      <c r="N72" t="s">
        <v>178</v>
      </c>
      <c r="O72" s="6" t="str">
        <v/>
      </c>
      <c r="Q72" t="s">
        <v>185</v>
      </c>
    </row>
    <row r="73" spans="1:17">
      <c r="A73" t="str">
        <v>73行</v>
      </c>
      <c r="B73" t="str">
        <f ca="1"/>
        <v>- O73：シート名_8（現在の内容：""）</v>
      </c>
      <c r="C73" t="str">
        <f ca="1"/>
        <v>- O289：管内1_15（現在の内容：""）</v>
      </c>
      <c r="N73" t="s">
        <v>179</v>
      </c>
      <c r="O73" s="6" t="str">
        <v/>
      </c>
      <c r="Q73" t="s">
        <v>185</v>
      </c>
    </row>
    <row r="74" spans="1:17">
      <c r="A74" t="str">
        <v>74行</v>
      </c>
      <c r="B74" t="str">
        <f ca="1"/>
        <v>- O74：シート名_9（現在の内容：""）</v>
      </c>
      <c r="C74" t="str">
        <f ca="1"/>
        <v>- O290：管内1_16（現在の内容：""）</v>
      </c>
      <c r="N74" t="s">
        <v>180</v>
      </c>
      <c r="O74" s="6" t="str">
        <v/>
      </c>
      <c r="Q74" t="s">
        <v>185</v>
      </c>
    </row>
    <row r="75" spans="1:17">
      <c r="A75" t="str">
        <v>75行</v>
      </c>
      <c r="B75" t="str">
        <f ca="1"/>
        <v>- O75：シート名_10（現在の内容：""）</v>
      </c>
      <c r="C75" t="str">
        <f ca="1"/>
        <v>- O291：管内1_17（現在の内容：""）</v>
      </c>
      <c r="N75" t="s">
        <v>181</v>
      </c>
      <c r="O75" s="6" t="str">
        <v/>
      </c>
      <c r="Q75" t="s">
        <v>185</v>
      </c>
    </row>
    <row r="76" spans="1:17">
      <c r="A76" t="str">
        <v>76行</v>
      </c>
      <c r="B76" t="str">
        <f ca="1"/>
        <v/>
      </c>
      <c r="C76" t="str">
        <f ca="1"/>
        <v>- O292：管内1_18（現在の内容：""）</v>
      </c>
    </row>
    <row r="77" spans="1:17">
      <c r="A77" t="str">
        <v>77行</v>
      </c>
      <c r="B77" t="str">
        <f ca="1"/>
        <v/>
      </c>
      <c r="C77" t="str">
        <f ca="1"/>
        <v>- O293：管内1_19（現在の内容：""）</v>
      </c>
    </row>
    <row r="78" spans="1:17">
      <c r="A78" t="str">
        <v>78行</v>
      </c>
      <c r="B78" t="str">
        <f ca="1"/>
        <v/>
      </c>
      <c r="C78" t="str">
        <f ca="1"/>
        <v>- O294：管内1_20（現在の内容：""）</v>
      </c>
    </row>
    <row r="79" spans="1:17">
      <c r="A79" t="str">
        <v>79行</v>
      </c>
      <c r="B79" t="str">
        <f ca="1"/>
        <v/>
      </c>
      <c r="C79" t="str">
        <f ca="1"/>
        <v>- O305：管内2_1（現在の内容：""）</v>
      </c>
    </row>
    <row r="80" spans="1:17">
      <c r="A80" t="str">
        <v>80行</v>
      </c>
      <c r="B80" t="str">
        <f ca="1"/>
        <v/>
      </c>
      <c r="C80" t="str">
        <f ca="1"/>
        <v>- O306：管内2_2（現在の内容：""）</v>
      </c>
    </row>
    <row r="81" spans="1:18">
      <c r="A81" t="str">
        <v>81行</v>
      </c>
      <c r="B81" t="str">
        <f ca="1"/>
        <v/>
      </c>
      <c r="C81" t="str">
        <f ca="1"/>
        <v>- O307：管内2_3（現在の内容：""）</v>
      </c>
    </row>
    <row r="82" spans="1:18">
      <c r="A82" t="str">
        <v>82行</v>
      </c>
      <c r="B82" t="str">
        <f ca="1"/>
        <v/>
      </c>
      <c r="C82" t="str">
        <f ca="1"/>
        <v>- O308：管内2_4（現在の内容：""）</v>
      </c>
    </row>
    <row r="83" spans="1:18">
      <c r="A83" t="str">
        <v>83行</v>
      </c>
      <c r="B83" t="str">
        <f ca="1"/>
        <v/>
      </c>
      <c r="C83" t="str">
        <f ca="1"/>
        <v>- O309：管内2_5（現在の内容：""）</v>
      </c>
    </row>
    <row r="84" spans="1:18">
      <c r="A84" t="str">
        <v>84行</v>
      </c>
      <c r="B84" t="str">
        <f ca="1"/>
        <v/>
      </c>
      <c r="C84" t="str">
        <f ca="1"/>
        <v>- O310：管内2_6（現在の内容：""）</v>
      </c>
    </row>
    <row r="85" spans="1:18">
      <c r="A85" t="str">
        <v>85行</v>
      </c>
      <c r="B85" t="str">
        <f ca="1"/>
        <v/>
      </c>
      <c r="C85" t="str">
        <f ca="1"/>
        <v>- O311：管内2_7（現在の内容：""）</v>
      </c>
    </row>
    <row r="86" spans="1:18">
      <c r="A86" t="str">
        <v>86行</v>
      </c>
      <c r="B86" t="str">
        <f ca="1"/>
        <v/>
      </c>
      <c r="C86" t="str">
        <f ca="1"/>
        <v>- O312：管内2_8（現在の内容：""）</v>
      </c>
    </row>
    <row r="87" spans="1:18">
      <c r="A87" t="str">
        <v>87行</v>
      </c>
      <c r="B87" t="str">
        <f ca="1"/>
        <v>- O87：工程表ヘッダー行数（現在の内容：3）</v>
      </c>
      <c r="C87" t="str">
        <f ca="1"/>
        <v>- O313：管内2_9（現在の内容：""）</v>
      </c>
      <c r="M87" t="s">
        <v>623</v>
      </c>
      <c r="N87" t="s">
        <v>212</v>
      </c>
      <c r="O87" s="6" cm="1">
        <f t="array" ref="O87:O90">IFERROR(IF(ISBLANK(INDEX(Work!$R:$R, SMALL(IF((Work!$G:$G=$O$126)*(ISNUMBER(MATCH(Work!$Q:$Q, $N87:$N96, 0))), ROW(Work!$G:$G)), _xlfn.SEQUENCE(ROWS(_xlfn._xlws.FILTER(ROW(Work!$G:$G), (Work!$G:$G=$O$126)*(ISNUMBER(MATCH(Work!$Q:$Q, $N87:$N96, 0))), "")))), 1)), "", INDEX(Work!$R:$R, SMALL(IF((Work!$G:$G=$O$126)*(ISNUMBER(MATCH(Work!$Q:$Q, $N87:$N96, 0))), ROW(Work!$G:$G)), _xlfn.SEQUENCE(ROWS(_xlfn._xlws.FILTER(ROW(Work!$G:$G), (Work!$G:$G=$O$126)*(ISNUMBER(MATCH(Work!$Q:$Q, $N87:$N96, 0))), "")))), 1)), "")</f>
        <v>3</v>
      </c>
      <c r="P87" s="7" t="s">
        <v>213</v>
      </c>
      <c r="Q87" t="s">
        <v>214</v>
      </c>
      <c r="R87" t="str">
        <f>"無視。"&amp;O87+1&amp;"から処理を繰り返す"</f>
        <v>無視。4から処理を繰り返す</v>
      </c>
    </row>
    <row r="88" spans="1:18">
      <c r="A88" t="str">
        <v>88行</v>
      </c>
      <c r="B88" t="str">
        <f ca="1"/>
        <v>- O88：工程表ヘッダー列数（現在の内容：1）</v>
      </c>
      <c r="C88" t="str">
        <f ca="1"/>
        <v>- O314：管内2_10（現在の内容：""）</v>
      </c>
      <c r="N88" t="s">
        <v>215</v>
      </c>
      <c r="O88" s="6">
        <v>1</v>
      </c>
      <c r="P88" t="s">
        <v>216</v>
      </c>
      <c r="Q88" t="s">
        <v>217</v>
      </c>
      <c r="R88" t="s">
        <v>218</v>
      </c>
    </row>
    <row r="89" spans="1:18">
      <c r="A89" t="str">
        <v>89行</v>
      </c>
      <c r="B89" t="str">
        <f ca="1"/>
        <v>- O89：1日の行数（現在の内容：8）</v>
      </c>
      <c r="C89" t="str">
        <f ca="1"/>
        <v>- O315：管内2_11（現在の内容：""）</v>
      </c>
      <c r="N89" t="s">
        <v>219</v>
      </c>
      <c r="O89" s="6">
        <v>8</v>
      </c>
      <c r="Q89" t="s">
        <v>214</v>
      </c>
      <c r="R89" s="7" t="str">
        <f>O89&amp;"行が1日。基準セルよりOffsetで使用。4:11, 12:19, 20:27, 28:35, 36:43, 44:51, 52:59"</f>
        <v>8行が1日。基準セルよりOffsetで使用。4:11, 12:19, 20:27, 28:35, 36:43, 44:51, 52:59</v>
      </c>
    </row>
    <row r="90" spans="1:18">
      <c r="A90" t="str">
        <v>90行</v>
      </c>
      <c r="B90" t="str">
        <f ca="1"/>
        <v>- O90：1週間の日数（現在の内容：7）</v>
      </c>
      <c r="C90" t="str">
        <f ca="1"/>
        <v>- O316：管内2_12（現在の内容：""）</v>
      </c>
      <c r="N90" t="s">
        <v>222</v>
      </c>
      <c r="O90" s="6">
        <v>7</v>
      </c>
      <c r="Q90" t="s">
        <v>223</v>
      </c>
      <c r="R90" t="str">
        <f>"縦に"&amp;O90&amp;"回繰り返す"</f>
        <v>縦に7回繰り返す</v>
      </c>
    </row>
    <row r="91" spans="1:18">
      <c r="A91" t="str">
        <v>91行</v>
      </c>
      <c r="B91" t="str">
        <f ca="1"/>
        <v/>
      </c>
      <c r="C91" t="str">
        <f ca="1"/>
        <v>- O317：管内2_13（現在の内容：""）</v>
      </c>
    </row>
    <row r="92" spans="1:18">
      <c r="A92" t="str">
        <v>92行</v>
      </c>
      <c r="B92" t="str">
        <f ca="1"/>
        <v/>
      </c>
      <c r="C92" t="str">
        <f ca="1"/>
        <v>- O318：管内2_14（現在の内容：""）</v>
      </c>
    </row>
    <row r="93" spans="1:18">
      <c r="A93" t="str">
        <v>93行</v>
      </c>
      <c r="B93" t="str">
        <f ca="1"/>
        <v/>
      </c>
      <c r="C93" t="str">
        <f ca="1"/>
        <v>- O319：管内2_15（現在の内容：""）</v>
      </c>
    </row>
    <row r="94" spans="1:18">
      <c r="A94" t="str">
        <v>94行</v>
      </c>
      <c r="B94" t="str">
        <f ca="1"/>
        <v/>
      </c>
      <c r="C94" t="str">
        <f ca="1"/>
        <v>- O320：管内2_16（現在の内容：""）</v>
      </c>
    </row>
    <row r="95" spans="1:18">
      <c r="A95" t="str">
        <v>95行</v>
      </c>
      <c r="B95" t="str">
        <f ca="1"/>
        <v/>
      </c>
      <c r="C95" t="str">
        <f ca="1"/>
        <v>- O321：管内2_17（現在の内容：""）</v>
      </c>
    </row>
    <row r="96" spans="1:18">
      <c r="A96" t="str">
        <v>96行</v>
      </c>
      <c r="B96" t="str">
        <f ca="1"/>
        <v/>
      </c>
      <c r="C96" t="str">
        <f ca="1"/>
        <v>- O322：管内2_18（現在の内容：""）</v>
      </c>
    </row>
    <row r="97" spans="1:18">
      <c r="A97" t="str">
        <v>97行</v>
      </c>
      <c r="B97" t="str">
        <f ca="1"/>
        <v/>
      </c>
      <c r="C97" t="str">
        <f ca="1"/>
        <v>- O323：管内2_19（現在の内容：""）</v>
      </c>
    </row>
    <row r="98" spans="1:18">
      <c r="A98" t="str">
        <v>98行</v>
      </c>
      <c r="B98" t="str">
        <f ca="1"/>
        <v/>
      </c>
      <c r="C98" t="str">
        <f ca="1"/>
        <v>- O324：管内2_20（現在の内容：""）</v>
      </c>
    </row>
    <row r="99" spans="1:18">
      <c r="A99" t="str">
        <v>99行</v>
      </c>
      <c r="B99" t="str">
        <f ca="1"/>
        <v/>
      </c>
      <c r="C99" t="str">
        <f ca="1"/>
        <v>- O325：管内2_21（現在の内容：""）</v>
      </c>
    </row>
    <row r="100" spans="1:18">
      <c r="A100" t="str">
        <v>100行</v>
      </c>
      <c r="B100" t="str">
        <f ca="1"/>
        <v/>
      </c>
      <c r="C100" t="str">
        <f ca="1"/>
        <v>- O326：管内2_22（現在の内容：""）</v>
      </c>
    </row>
    <row r="101" spans="1:18">
      <c r="A101" t="str">
        <v>101行</v>
      </c>
      <c r="B101" t="str">
        <f ca="1"/>
        <v>- O101：年の取得場所（現在の内容：FR2）</v>
      </c>
      <c r="C101" t="str">
        <f ca="1"/>
        <v>- O327：管内2_23（現在の内容：""）</v>
      </c>
      <c r="N101" t="s">
        <v>228</v>
      </c>
      <c r="O101" s="6" t="str" cm="1">
        <f t="array" ref="O101:O104">IFERROR(IF(ISBLANK(INDEX(Work!$R:$R, SMALL(IF((Work!$G:$G=$O$126)*(ISNUMBER(MATCH(Work!$Q:$Q, $N101:$N110, 0))), ROW(Work!$G:$G)), _xlfn.SEQUENCE(ROWS(_xlfn._xlws.FILTER(ROW(Work!$G:$G), (Work!$G:$G=$O$126)*(ISNUMBER(MATCH(Work!$Q:$Q, $N101:$N110, 0))), "")))), 1)), "", INDEX(Work!$R:$R, SMALL(IF((Work!$G:$G=$O$126)*(ISNUMBER(MATCH(Work!$Q:$Q, $N101:$N110, 0))), ROW(Work!$G:$G)), _xlfn.SEQUENCE(ROWS(_xlfn._xlws.FILTER(ROW(Work!$G:$G), (Work!$G:$G=$O$126)*(ISNUMBER(MATCH(Work!$Q:$Q, $N101:$N110, 0))), "")))), 1)), "")</f>
        <v>FR2</v>
      </c>
      <c r="Q101" t="s">
        <v>230</v>
      </c>
      <c r="R101" s="7"/>
    </row>
    <row r="102" spans="1:18">
      <c r="A102" t="str">
        <v>102行</v>
      </c>
      <c r="B102" t="str">
        <f ca="1"/>
        <v>- O102：月の取得場所（現在の内容：GB2）</v>
      </c>
      <c r="C102" t="str">
        <f ca="1"/>
        <v>- O328：管内2_24（現在の内容：""）</v>
      </c>
      <c r="N102" t="s">
        <v>233</v>
      </c>
      <c r="O102" s="6" t="str">
        <v>GB2</v>
      </c>
      <c r="Q102" t="s">
        <v>230</v>
      </c>
      <c r="R102" s="7"/>
    </row>
    <row r="103" spans="1:18">
      <c r="A103" t="str">
        <v>103行</v>
      </c>
      <c r="B103" t="str">
        <f ca="1"/>
        <v>- O103：日の取得位置（現在の内容：A）</v>
      </c>
      <c r="C103" t="str">
        <f ca="1"/>
        <v>- O329：管内2_25（現在の内容：""）</v>
      </c>
      <c r="N103" t="s">
        <v>237</v>
      </c>
      <c r="O103" s="6" t="str">
        <v>A</v>
      </c>
      <c r="P103" t="s">
        <v>216</v>
      </c>
      <c r="Q103" t="s">
        <v>217</v>
      </c>
    </row>
    <row r="104" spans="1:18">
      <c r="A104" t="str">
        <v>104行</v>
      </c>
      <c r="B104" t="str">
        <f ca="1"/>
        <v>- O104：日の取得位置（現在の内容：3）</v>
      </c>
      <c r="C104" t="str">
        <f ca="1"/>
        <v>- O330：管内2_26（現在の内容：""）</v>
      </c>
      <c r="N104" t="s">
        <v>237</v>
      </c>
      <c r="O104" s="6">
        <v>3</v>
      </c>
      <c r="Q104" t="s">
        <v>240</v>
      </c>
      <c r="R104" s="7" t="s">
        <v>241</v>
      </c>
    </row>
    <row r="105" spans="1:18">
      <c r="A105" t="str">
        <v>105行</v>
      </c>
      <c r="B105" t="str">
        <f ca="1"/>
        <v/>
      </c>
      <c r="C105" t="str">
        <f ca="1"/>
        <v>- O331：管内2_27（現在の内容：""）</v>
      </c>
    </row>
    <row r="106" spans="1:18">
      <c r="A106" t="str">
        <v>106行</v>
      </c>
      <c r="B106" t="str">
        <f ca="1"/>
        <v/>
      </c>
      <c r="C106" t="str">
        <f ca="1"/>
        <v>- O332：管内2_28（現在の内容：""）</v>
      </c>
    </row>
    <row r="107" spans="1:18">
      <c r="A107" t="str">
        <v>107行</v>
      </c>
      <c r="B107" t="str">
        <f ca="1"/>
        <v/>
      </c>
      <c r="C107" t="str">
        <f ca="1"/>
        <v>- O333：管内2_29（現在の内容：""）</v>
      </c>
    </row>
    <row r="108" spans="1:18">
      <c r="A108" t="str">
        <v>108行</v>
      </c>
      <c r="B108" t="str">
        <f ca="1"/>
        <v/>
      </c>
      <c r="C108" t="str">
        <f ca="1"/>
        <v>- O334：管内2_30（現在の内容：""）</v>
      </c>
    </row>
    <row r="109" spans="1:18">
      <c r="A109" t="str">
        <v>109行</v>
      </c>
      <c r="B109" t="str">
        <f ca="1"/>
        <v/>
      </c>
      <c r="C109" t="str">
        <f ca="1"/>
        <v>- O346：分類1（現在の内容：""）</v>
      </c>
    </row>
    <row r="110" spans="1:18">
      <c r="A110" t="str">
        <v>110行</v>
      </c>
      <c r="B110" t="str">
        <f ca="1"/>
        <v/>
      </c>
      <c r="C110" t="str">
        <f ca="1"/>
        <v>- O367：分類2（現在の内容：""）</v>
      </c>
    </row>
    <row r="111" spans="1:18">
      <c r="A111" t="str">
        <v>111行</v>
      </c>
      <c r="B111" t="str">
        <f ca="1"/>
        <v/>
      </c>
      <c r="C111" t="str">
        <f ca="1"/>
        <v>- O388：分類3（現在の内容：""）</v>
      </c>
    </row>
    <row r="112" spans="1:18">
      <c r="A112" t="str">
        <v>112行</v>
      </c>
      <c r="B112" t="str">
        <f ca="1"/>
        <v/>
      </c>
      <c r="C112" t="str">
        <f ca="1"/>
        <v>- O409：工事種類_1（現在の内容：""）</v>
      </c>
    </row>
    <row r="113" spans="1:24">
      <c r="A113" t="str">
        <v>113行</v>
      </c>
      <c r="B113" t="str">
        <f ca="1"/>
        <v/>
      </c>
      <c r="C113" t="str">
        <f ca="1"/>
        <v>- O410：工事種類_2（現在の内容：""）</v>
      </c>
    </row>
    <row r="114" spans="1:24">
      <c r="A114" t="str">
        <v>114行</v>
      </c>
      <c r="B114" t="str">
        <f ca="1"/>
        <v>- O114：1日の工程数（現在の内容：39）</v>
      </c>
      <c r="C114" t="str">
        <f ca="1"/>
        <v>- O411：工事種類_3（現在の内容：""）</v>
      </c>
      <c r="N114" t="s">
        <v>246</v>
      </c>
      <c r="O114" s="6" cm="1">
        <f t="array" ref="O114">IFERROR(IF(ISBLANK(INDEX(Work!$R:$R, SMALL(IF((Work!$G:$G=$O$126)*(ISNUMBER(MATCH(Work!$Q:$Q, $N114:$N122, 0))), ROW(Work!$G:$G)), _xlfn.SEQUENCE(ROWS(_xlfn._xlws.FILTER(ROW(Work!$G:$G), (Work!$G:$G=$O$126)*(ISNUMBER(MATCH(Work!$Q:$Q, $N114:$N122, 0))), "")))), 1)), "", INDEX(Work!$R:$R, SMALL(IF((Work!$G:$G=$O$126)*(ISNUMBER(MATCH(Work!$Q:$Q, $N114:$N122, 0))), ROW(Work!$G:$G)), _xlfn.SEQUENCE(ROWS(_xlfn._xlws.FILTER(ROW(Work!$G:$G), (Work!$G:$G=$O$126)*(ISNUMBER(MATCH(Work!$Q:$Q, $N114:$N122, 0))), "")))), 1)), "")</f>
        <v>39</v>
      </c>
      <c r="P114" t="s">
        <v>247</v>
      </c>
      <c r="Q114" t="s">
        <v>248</v>
      </c>
      <c r="R114" t="str">
        <f>"横に"&amp;O114&amp;"回繰り返す"</f>
        <v>横に39回繰り返す</v>
      </c>
    </row>
    <row r="115" spans="1:24">
      <c r="A115" t="str">
        <v>115行</v>
      </c>
      <c r="B115" t="str">
        <f ca="1"/>
        <v/>
      </c>
      <c r="C115" t="str">
        <f ca="1"/>
        <v>- O412：工事種類_4（現在の内容：""）</v>
      </c>
    </row>
    <row r="116" spans="1:24">
      <c r="A116" t="str">
        <v>116行</v>
      </c>
      <c r="B116" t="str">
        <f ca="1"/>
        <v/>
      </c>
      <c r="C116" t="str">
        <f ca="1"/>
        <v>- O413：工事種類_5（現在の内容：""）</v>
      </c>
    </row>
    <row r="117" spans="1:24">
      <c r="A117" t="str">
        <v>117行</v>
      </c>
      <c r="B117" t="str">
        <f ca="1"/>
        <v/>
      </c>
      <c r="C117" t="str">
        <f ca="1"/>
        <v>- O414：工事種類_6（現在の内容：""）</v>
      </c>
    </row>
    <row r="118" spans="1:24">
      <c r="A118" t="str">
        <v>118行</v>
      </c>
      <c r="B118" t="str">
        <f ca="1"/>
        <v/>
      </c>
      <c r="C118" t="str">
        <f ca="1"/>
        <v>- O415：工事種類_7（現在の内容：""）</v>
      </c>
    </row>
    <row r="119" spans="1:24">
      <c r="A119" t="str">
        <v>119行</v>
      </c>
      <c r="B119" t="str">
        <f ca="1"/>
        <v/>
      </c>
      <c r="C119" t="str">
        <f ca="1"/>
        <v>- O416：工事種類_8（現在の内容：""）</v>
      </c>
    </row>
    <row r="120" spans="1:24">
      <c r="A120" t="str">
        <v>120行</v>
      </c>
      <c r="B120" t="str">
        <f ca="1"/>
        <v/>
      </c>
      <c r="C120" t="str">
        <f ca="1"/>
        <v>- O417：工事種類_9（現在の内容：""）</v>
      </c>
    </row>
    <row r="121" spans="1:24">
      <c r="A121" t="str">
        <v>121行</v>
      </c>
      <c r="B121" t="str">
        <f ca="1"/>
        <v/>
      </c>
      <c r="C121" t="str">
        <f ca="1"/>
        <v>- O418：工事種類_10（現在の内容：""）</v>
      </c>
    </row>
    <row r="122" spans="1:24" s="22" customFormat="1">
      <c r="A122" s="22" t="str">
        <v>122行</v>
      </c>
      <c r="B122" s="22" t="str">
        <f ca="1"/>
        <v>- O122：Workシートからの抽出後の再計算（現在の内容：TRUE）</v>
      </c>
      <c r="C122" s="22" t="str">
        <f ca="1"/>
        <v>- O431：工番_1（現在の内容：""）</v>
      </c>
      <c r="N122" s="22" t="s">
        <v>1150</v>
      </c>
      <c r="O122" s="26" t="b">
        <v>1</v>
      </c>
    </row>
    <row r="123" spans="1:24" s="23" customFormat="1">
      <c r="A123" s="23" t="str">
        <v>123行</v>
      </c>
      <c r="B123" s="23" t="str">
        <f ca="1"/>
        <v>- O123：処理工程表ファイルNo（現在の内容：1）</v>
      </c>
      <c r="C123" s="23" t="str">
        <f ca="1"/>
        <v>- O432：工番_2（現在の内容：""）</v>
      </c>
      <c r="N123" s="23" t="s">
        <v>1119</v>
      </c>
      <c r="O123" s="25">
        <v>1</v>
      </c>
    </row>
    <row r="124" spans="1:24" s="23" customFormat="1">
      <c r="A124" s="23" t="str">
        <v>124行</v>
      </c>
      <c r="B124" s="23" t="str">
        <f ca="1"/>
        <v>- O124：ファイル名（現在の内容：2025.04 月間予定表.xlsx）</v>
      </c>
      <c r="C124" s="23" t="str">
        <f ca="1"/>
        <v>- O433：工番_3（現在の内容：""）</v>
      </c>
      <c r="N124" t="s">
        <v>1117</v>
      </c>
      <c r="O124" s="16" t="str">
        <f>VLOOKUP($O$123,$M$557:$Q$756,3)</f>
        <v>2025.04 月間予定表.xlsx</v>
      </c>
    </row>
    <row r="125" spans="1:24">
      <c r="A125" t="str">
        <v>125行</v>
      </c>
      <c r="B125" t="str">
        <f ca="1"/>
        <v>- O125：ファイルパス（現在の内容：\\Nasm01\10\351400000\07．手配\01．保全G\01.月間予定\2025年度\01.週間予定表\2025.04 月間予定表.xlsx）</v>
      </c>
      <c r="C125" t="str">
        <f ca="1"/>
        <v>- O434：工番_4（現在の内容：""）</v>
      </c>
      <c r="N125" t="s">
        <v>790</v>
      </c>
      <c r="O125" s="16" t="str">
        <f>VLOOKUP($O$123,$M$557:$Q$756,4)</f>
        <v>\\Nasm01\10\351400000\07．手配\01．保全G\01.月間予定\2025年度\01.週間予定表\2025.04 月間予定表.xlsx</v>
      </c>
    </row>
    <row r="126" spans="1:24">
      <c r="A126" t="str">
        <v>126行</v>
      </c>
      <c r="B126" t="str">
        <f ca="1"/>
        <v>- O126：シートの工程パターン（現在の内容：1）</v>
      </c>
      <c r="C126" t="str">
        <f ca="1"/>
        <v>- O435：工番_5（現在の内容：""）</v>
      </c>
      <c r="N126" t="s">
        <v>170</v>
      </c>
      <c r="O126" s="24">
        <v>1</v>
      </c>
    </row>
    <row r="127" spans="1:24">
      <c r="A127" t="str">
        <v>127行</v>
      </c>
      <c r="B127" t="str">
        <f ca="1"/>
        <v/>
      </c>
      <c r="C127" t="str">
        <f ca="1"/>
        <v>- O436：工番_6（現在の内容：""）</v>
      </c>
    </row>
    <row r="128" spans="1:24">
      <c r="A128" t="str">
        <v>128行</v>
      </c>
      <c r="B128" t="str">
        <f ca="1"/>
        <v>- O128：分類3（現在の内容：シート名_1）</v>
      </c>
      <c r="C128" t="str">
        <f ca="1"/>
        <v>- O437：工番_7（現在の内容：""）</v>
      </c>
      <c r="I128" s="2" t="s">
        <v>171</v>
      </c>
      <c r="J128" s="2" t="s">
        <v>149</v>
      </c>
      <c r="K128" s="2" t="s">
        <v>150</v>
      </c>
      <c r="L128" s="2" t="s">
        <v>709</v>
      </c>
      <c r="M128" s="2" t="s">
        <v>711</v>
      </c>
      <c r="N128" s="2" t="s">
        <v>713</v>
      </c>
      <c r="O128" s="2" t="s">
        <v>172</v>
      </c>
      <c r="P128" s="2" t="s">
        <v>173</v>
      </c>
      <c r="Q128" s="2" t="s">
        <v>174</v>
      </c>
      <c r="R128" s="2" t="s">
        <v>175</v>
      </c>
      <c r="S128" s="2" t="s">
        <v>176</v>
      </c>
      <c r="T128" s="2" t="s">
        <v>177</v>
      </c>
      <c r="U128" s="2" t="s">
        <v>178</v>
      </c>
      <c r="V128" s="2" t="s">
        <v>179</v>
      </c>
      <c r="W128" s="2" t="s">
        <v>180</v>
      </c>
      <c r="X128" s="2" t="s">
        <v>181</v>
      </c>
    </row>
    <row r="129" spans="1:26">
      <c r="A129" t="str">
        <v>129行</v>
      </c>
      <c r="B129" t="str">
        <f ca="1"/>
        <v/>
      </c>
      <c r="C129" t="str">
        <f ca="1"/>
        <v>- O438：工番_8（現在の内容：""）</v>
      </c>
      <c r="H129" t="s">
        <v>255</v>
      </c>
      <c r="I129">
        <v>1</v>
      </c>
      <c r="J129" s="6" t="str" cm="1">
        <f t="array" ref="J129:X167">IFERROR(IF(ISBLANK(INDEX(Work!$G:$AA, SMALL(IF((Work!$G:$G=$O$126)*(ISNUMBER(MATCH(Work!$L:$L, $I129:$I228, 0))), ROW(Work!$G:$G)), _xlfn.SEQUENCE(ROWS(_xlfn._xlws.FILTER(Work!$G:$G, (Work!$G:$G=$O$126)*(ISNUMBER(MATCH(Work!$L:$L, $I129:$I228, 0))), "")))), MATCH(J$128:X$128, Work!$G$1:$AA$1, 0))), "", INDEX(Work!$G:$AA, SMALL(IF((Work!$G:$G=$O$126)*(ISNUMBER(MATCH(Work!$L:$L, $I129:$I228, 0))), ROW(Work!$G:$G)), _xlfn.SEQUENCE(ROWS(_xlfn._xlws.FILTER(Work!$G:$G, (Work!$G:$G=$O$126)*(ISNUMBER(MATCH(Work!$L:$L, $I129:$I228, 0))), "")))), MATCH(J$128:X$128, Work!$G$1:$AA$1, 0))), "")</f>
        <v>大阪北</v>
      </c>
      <c r="K129" s="6" t="str">
        <v>野江</v>
      </c>
      <c r="L129" s="6" t="str">
        <v/>
      </c>
      <c r="M129" s="6" t="str">
        <v/>
      </c>
      <c r="N129" s="6" t="str">
        <v/>
      </c>
      <c r="O129" s="6">
        <v>4</v>
      </c>
      <c r="P129" s="6">
        <v>4</v>
      </c>
      <c r="Q129" s="6">
        <v>4</v>
      </c>
      <c r="R129" s="6">
        <v>4</v>
      </c>
      <c r="S129" s="6">
        <v>4</v>
      </c>
      <c r="T129" s="6" t="str">
        <v/>
      </c>
      <c r="U129" s="6" t="str">
        <v/>
      </c>
      <c r="V129" s="6" t="str">
        <v/>
      </c>
      <c r="W129" s="6" t="str">
        <v/>
      </c>
      <c r="X129" s="6" t="str">
        <v/>
      </c>
      <c r="Y129" t="s">
        <v>256</v>
      </c>
      <c r="Z129" t="s">
        <v>217</v>
      </c>
    </row>
    <row r="130" spans="1:26">
      <c r="A130" t="str">
        <v>130行</v>
      </c>
      <c r="B130" t="str">
        <f ca="1"/>
        <v/>
      </c>
      <c r="C130" t="str">
        <f ca="1"/>
        <v>- O439：工番_9（現在の内容：""）</v>
      </c>
      <c r="H130" t="s">
        <v>259</v>
      </c>
      <c r="I130">
        <v>2</v>
      </c>
      <c r="J130" s="6" t="str">
        <v>大阪北</v>
      </c>
      <c r="K130" s="6" t="str">
        <v>野江</v>
      </c>
      <c r="L130" s="6" t="str">
        <v/>
      </c>
      <c r="M130" s="6" t="str">
        <v/>
      </c>
      <c r="N130" s="6" t="str">
        <v/>
      </c>
      <c r="O130" s="6">
        <v>4</v>
      </c>
      <c r="P130" s="6">
        <v>4</v>
      </c>
      <c r="Q130" s="6">
        <v>4</v>
      </c>
      <c r="R130" s="6">
        <v>4</v>
      </c>
      <c r="S130" s="6">
        <v>4</v>
      </c>
      <c r="T130" s="6" t="str">
        <v/>
      </c>
      <c r="U130" s="6" t="str">
        <v/>
      </c>
      <c r="V130" s="6" t="str">
        <v/>
      </c>
      <c r="W130" s="6" t="str">
        <v/>
      </c>
      <c r="X130" s="6" t="str">
        <v/>
      </c>
      <c r="Y130" t="str">
        <f>CHAR(CODE(RIGHT(Y129,1))+1)&amp;":"&amp;CHAR(CODE(RIGHT(Y129,1))+O130)</f>
        <v>F:I</v>
      </c>
      <c r="Z130" t="s">
        <v>217</v>
      </c>
    </row>
    <row r="131" spans="1:26">
      <c r="A131" t="str">
        <v>131行</v>
      </c>
      <c r="B131" t="str">
        <f ca="1"/>
        <v/>
      </c>
      <c r="C131" t="str">
        <f ca="1"/>
        <v>- O440：工番_10（現在の内容：""）</v>
      </c>
      <c r="H131" t="s">
        <v>262</v>
      </c>
      <c r="I131">
        <v>3</v>
      </c>
      <c r="J131" s="6" t="str">
        <v>大阪北</v>
      </c>
      <c r="K131" s="6" t="str">
        <v>野江</v>
      </c>
      <c r="L131" s="6" t="str">
        <v/>
      </c>
      <c r="M131" s="6" t="str">
        <v/>
      </c>
      <c r="N131" s="6" t="str">
        <v/>
      </c>
      <c r="O131" s="6">
        <v>4</v>
      </c>
      <c r="P131" s="6">
        <v>4</v>
      </c>
      <c r="Q131" s="6">
        <v>4</v>
      </c>
      <c r="R131" s="6">
        <v>4</v>
      </c>
      <c r="S131" s="6">
        <v>4</v>
      </c>
      <c r="T131" s="6" t="str">
        <v/>
      </c>
      <c r="U131" s="6" t="str">
        <v/>
      </c>
      <c r="V131" s="6" t="str">
        <v/>
      </c>
      <c r="W131" s="6" t="str">
        <v/>
      </c>
      <c r="X131" s="6" t="str">
        <v/>
      </c>
      <c r="Y131" t="str">
        <f>CHAR(CODE(RIGHT(Y130,1))+1)&amp;":"&amp;CHAR(CODE(RIGHT(Y130,1))+O131)</f>
        <v>J:M</v>
      </c>
      <c r="Z131" t="s">
        <v>217</v>
      </c>
    </row>
    <row r="132" spans="1:26">
      <c r="A132" t="str">
        <v>132行</v>
      </c>
      <c r="B132" t="str">
        <f ca="1"/>
        <v/>
      </c>
      <c r="C132" t="str">
        <f ca="1"/>
        <v>- O451：作業種類_1（現在の内容：""）</v>
      </c>
      <c r="H132" t="s">
        <v>263</v>
      </c>
      <c r="I132">
        <v>4</v>
      </c>
      <c r="J132" s="6" t="str">
        <v>大阪北</v>
      </c>
      <c r="K132" s="6" t="str">
        <v>野江</v>
      </c>
      <c r="L132" s="6" t="str">
        <v/>
      </c>
      <c r="M132" s="6" t="str">
        <v/>
      </c>
      <c r="N132" s="6" t="str">
        <v/>
      </c>
      <c r="O132" s="6">
        <v>5</v>
      </c>
      <c r="P132" s="6">
        <v>5</v>
      </c>
      <c r="Q132" s="6">
        <v>5</v>
      </c>
      <c r="R132" s="6">
        <v>5</v>
      </c>
      <c r="S132" s="6">
        <v>5</v>
      </c>
      <c r="T132" s="6" t="str">
        <v/>
      </c>
      <c r="U132" s="6" t="str">
        <v/>
      </c>
      <c r="V132" s="6" t="str">
        <v/>
      </c>
      <c r="W132" s="6" t="str">
        <v/>
      </c>
      <c r="X132" s="6" t="str">
        <v/>
      </c>
      <c r="Y132" t="str">
        <f>CHAR(CODE(RIGHT(Y131,1))+1)&amp;":"&amp;CHAR(CODE(RIGHT(Y131,1))+O132)</f>
        <v>N:R</v>
      </c>
      <c r="Z132" t="s">
        <v>217</v>
      </c>
    </row>
    <row r="133" spans="1:26">
      <c r="A133" t="str">
        <v>133行</v>
      </c>
      <c r="B133" t="str">
        <f ca="1"/>
        <v/>
      </c>
      <c r="C133" t="str">
        <f ca="1"/>
        <v>- O452：作業種類_2（現在の内容：""）</v>
      </c>
      <c r="H133" t="s">
        <v>265</v>
      </c>
      <c r="I133">
        <v>5</v>
      </c>
      <c r="J133" s="6" t="str">
        <v>大阪北</v>
      </c>
      <c r="K133" s="6" t="str">
        <v>小曽根</v>
      </c>
      <c r="L133" s="6" t="str">
        <v/>
      </c>
      <c r="M133" s="6" t="str">
        <v/>
      </c>
      <c r="N133" s="6" t="str">
        <v/>
      </c>
      <c r="O133" s="6">
        <v>4</v>
      </c>
      <c r="P133" s="6">
        <v>4</v>
      </c>
      <c r="Q133" s="6">
        <v>4</v>
      </c>
      <c r="R133" s="6">
        <v>4</v>
      </c>
      <c r="S133" s="6">
        <v>4</v>
      </c>
      <c r="T133" s="6" t="str">
        <v/>
      </c>
      <c r="U133" s="6" t="str">
        <v/>
      </c>
      <c r="V133" s="6" t="str">
        <v/>
      </c>
      <c r="W133" s="6" t="str">
        <v/>
      </c>
      <c r="X133" s="6" t="str">
        <v/>
      </c>
      <c r="Y133" t="s">
        <v>266</v>
      </c>
      <c r="Z133" t="s">
        <v>217</v>
      </c>
    </row>
    <row r="134" spans="1:26">
      <c r="A134" t="str">
        <v>134行</v>
      </c>
      <c r="B134" t="str">
        <f ca="1"/>
        <v/>
      </c>
      <c r="C134" t="str">
        <f ca="1"/>
        <v>- O453：作業種類_3（現在の内容：""）</v>
      </c>
      <c r="H134" t="s">
        <v>259</v>
      </c>
      <c r="I134">
        <v>6</v>
      </c>
      <c r="J134" s="6" t="str">
        <v>大阪北</v>
      </c>
      <c r="K134" s="6" t="str">
        <v>小曽根</v>
      </c>
      <c r="L134" s="6" t="str">
        <v/>
      </c>
      <c r="M134" s="6" t="str">
        <v/>
      </c>
      <c r="N134" s="6" t="str">
        <v/>
      </c>
      <c r="O134" s="6">
        <v>4</v>
      </c>
      <c r="P134" s="6">
        <v>4</v>
      </c>
      <c r="Q134" s="6">
        <v>4</v>
      </c>
      <c r="R134" s="6">
        <v>4</v>
      </c>
      <c r="S134" s="6">
        <v>4</v>
      </c>
      <c r="T134" s="6" t="str">
        <v/>
      </c>
      <c r="U134" s="6" t="str">
        <v/>
      </c>
      <c r="V134" s="6" t="str">
        <v/>
      </c>
      <c r="W134" s="6" t="str">
        <v/>
      </c>
      <c r="X134" s="6" t="str">
        <v/>
      </c>
      <c r="Y134" t="s">
        <v>269</v>
      </c>
      <c r="Z134" t="s">
        <v>217</v>
      </c>
    </row>
    <row r="135" spans="1:26">
      <c r="A135" t="str">
        <v>135行</v>
      </c>
      <c r="B135" t="str">
        <f ca="1"/>
        <v/>
      </c>
      <c r="C135" t="str">
        <f ca="1"/>
        <v>- O454：作業種類_4（現在の内容：""）</v>
      </c>
      <c r="H135" t="s">
        <v>272</v>
      </c>
      <c r="I135">
        <v>7</v>
      </c>
      <c r="J135" s="6" t="str">
        <v>大阪北</v>
      </c>
      <c r="K135" s="6" t="str">
        <v>小曽根</v>
      </c>
      <c r="L135" s="6" t="str">
        <v/>
      </c>
      <c r="M135" s="6" t="str">
        <v/>
      </c>
      <c r="N135" s="6" t="str">
        <v/>
      </c>
      <c r="O135" s="6">
        <v>4</v>
      </c>
      <c r="P135" s="6">
        <v>4</v>
      </c>
      <c r="Q135" s="6">
        <v>4</v>
      </c>
      <c r="R135" s="6">
        <v>4</v>
      </c>
      <c r="S135" s="6">
        <v>4</v>
      </c>
      <c r="T135" s="6" t="str">
        <v/>
      </c>
      <c r="U135" s="6" t="str">
        <v/>
      </c>
      <c r="V135" s="6" t="str">
        <v/>
      </c>
      <c r="W135" s="6" t="str">
        <v/>
      </c>
      <c r="X135" s="6" t="str">
        <v/>
      </c>
      <c r="Y135" t="s">
        <v>273</v>
      </c>
      <c r="Z135" t="s">
        <v>217</v>
      </c>
    </row>
    <row r="136" spans="1:26">
      <c r="A136" t="str">
        <v>136行</v>
      </c>
      <c r="B136" t="str">
        <f ca="1"/>
        <v/>
      </c>
      <c r="C136" t="str">
        <f ca="1"/>
        <v>- O455：作業種類_5（現在の内容：""）</v>
      </c>
      <c r="H136" t="s">
        <v>263</v>
      </c>
      <c r="I136">
        <v>8</v>
      </c>
      <c r="J136" s="6" t="str">
        <v>大阪北</v>
      </c>
      <c r="K136" s="6" t="str">
        <v>小曽根</v>
      </c>
      <c r="L136" s="6" t="str">
        <v/>
      </c>
      <c r="M136" s="6" t="str">
        <v/>
      </c>
      <c r="N136" s="6" t="str">
        <v/>
      </c>
      <c r="O136" s="6">
        <v>5</v>
      </c>
      <c r="P136" s="6">
        <v>5</v>
      </c>
      <c r="Q136" s="6">
        <v>5</v>
      </c>
      <c r="R136" s="6">
        <v>5</v>
      </c>
      <c r="S136" s="6">
        <v>5</v>
      </c>
      <c r="T136" s="6" t="str">
        <v/>
      </c>
      <c r="U136" s="6" t="str">
        <v/>
      </c>
      <c r="V136" s="6" t="str">
        <v/>
      </c>
      <c r="W136" s="6" t="str">
        <v/>
      </c>
      <c r="X136" s="6" t="str">
        <v/>
      </c>
      <c r="Y136" t="s">
        <v>276</v>
      </c>
      <c r="Z136" t="s">
        <v>217</v>
      </c>
    </row>
    <row r="137" spans="1:26">
      <c r="A137" t="str">
        <v>137行</v>
      </c>
      <c r="B137" t="str">
        <f ca="1"/>
        <v/>
      </c>
      <c r="C137" t="str">
        <f ca="1"/>
        <v>- O456：作業種類_6（現在の内容：""）</v>
      </c>
      <c r="H137" t="s">
        <v>265</v>
      </c>
      <c r="I137">
        <v>9</v>
      </c>
      <c r="J137" s="6" t="str">
        <v>南大阪</v>
      </c>
      <c r="K137" s="6" t="str">
        <v>我孫子</v>
      </c>
      <c r="L137" s="6" t="str">
        <v/>
      </c>
      <c r="M137" s="6" t="str">
        <v/>
      </c>
      <c r="N137" s="6" t="str">
        <v/>
      </c>
      <c r="O137" s="6">
        <v>4</v>
      </c>
      <c r="P137" s="6">
        <v>4</v>
      </c>
      <c r="Q137" s="6">
        <v>4</v>
      </c>
      <c r="R137" s="6">
        <v>4</v>
      </c>
      <c r="S137" s="6">
        <v>4</v>
      </c>
      <c r="T137" s="6" t="str">
        <v/>
      </c>
      <c r="U137" s="6" t="str">
        <v/>
      </c>
      <c r="V137" s="6" t="str">
        <v/>
      </c>
      <c r="W137" s="6" t="str">
        <v/>
      </c>
      <c r="X137" s="6" t="str">
        <v/>
      </c>
      <c r="Y137" t="s">
        <v>281</v>
      </c>
      <c r="Z137" t="s">
        <v>217</v>
      </c>
    </row>
    <row r="138" spans="1:26">
      <c r="A138" t="str">
        <v>138行</v>
      </c>
      <c r="B138" t="str">
        <f ca="1"/>
        <v/>
      </c>
      <c r="C138" t="str">
        <f ca="1"/>
        <v>- O457：作業種類_7（現在の内容：""）</v>
      </c>
      <c r="H138" t="s">
        <v>259</v>
      </c>
      <c r="I138">
        <v>10</v>
      </c>
      <c r="J138" s="6" t="str">
        <v>南大阪</v>
      </c>
      <c r="K138" s="6" t="str">
        <v>我孫子</v>
      </c>
      <c r="L138" s="6" t="str">
        <v/>
      </c>
      <c r="M138" s="6" t="str">
        <v/>
      </c>
      <c r="N138" s="6" t="str">
        <v/>
      </c>
      <c r="O138" s="6">
        <v>4</v>
      </c>
      <c r="P138" s="6">
        <v>4</v>
      </c>
      <c r="Q138" s="6">
        <v>4</v>
      </c>
      <c r="R138" s="6">
        <v>4</v>
      </c>
      <c r="S138" s="6">
        <v>4</v>
      </c>
      <c r="T138" s="6" t="str">
        <v/>
      </c>
      <c r="U138" s="6" t="str">
        <v/>
      </c>
      <c r="V138" s="6" t="str">
        <v/>
      </c>
      <c r="W138" s="6" t="str">
        <v/>
      </c>
      <c r="X138" s="6" t="str">
        <v/>
      </c>
      <c r="Y138" t="s">
        <v>284</v>
      </c>
      <c r="Z138" t="s">
        <v>217</v>
      </c>
    </row>
    <row r="139" spans="1:26">
      <c r="A139" t="str">
        <v>139行</v>
      </c>
      <c r="B139" t="str">
        <f ca="1"/>
        <v/>
      </c>
      <c r="C139" t="str">
        <f ca="1"/>
        <v>- O458：作業種類_8（現在の内容：""）</v>
      </c>
      <c r="H139" t="s">
        <v>272</v>
      </c>
      <c r="I139">
        <v>11</v>
      </c>
      <c r="J139" s="6" t="str">
        <v>南大阪</v>
      </c>
      <c r="K139" s="6" t="str">
        <v>我孫子</v>
      </c>
      <c r="L139" s="6" t="str">
        <v/>
      </c>
      <c r="M139" s="6" t="str">
        <v/>
      </c>
      <c r="N139" s="6" t="str">
        <v/>
      </c>
      <c r="O139" s="6">
        <v>4</v>
      </c>
      <c r="P139" s="6">
        <v>4</v>
      </c>
      <c r="Q139" s="6">
        <v>4</v>
      </c>
      <c r="R139" s="6">
        <v>4</v>
      </c>
      <c r="S139" s="6">
        <v>4</v>
      </c>
      <c r="T139" s="6" t="str">
        <v/>
      </c>
      <c r="U139" s="6" t="str">
        <v/>
      </c>
      <c r="V139" s="6" t="str">
        <v/>
      </c>
      <c r="W139" s="6" t="str">
        <v/>
      </c>
      <c r="X139" s="6" t="str">
        <v/>
      </c>
      <c r="Y139" t="s">
        <v>287</v>
      </c>
      <c r="Z139" t="s">
        <v>217</v>
      </c>
    </row>
    <row r="140" spans="1:26">
      <c r="A140" t="str">
        <v>140行</v>
      </c>
      <c r="B140" t="str">
        <f ca="1"/>
        <v/>
      </c>
      <c r="C140" t="str">
        <f ca="1"/>
        <v>- O459：作業種類_9（現在の内容：""）</v>
      </c>
      <c r="H140" t="s">
        <v>263</v>
      </c>
      <c r="I140">
        <v>12</v>
      </c>
      <c r="J140" s="6" t="str">
        <v>南大阪</v>
      </c>
      <c r="K140" s="6" t="str">
        <v>我孫子</v>
      </c>
      <c r="L140" s="6" t="str">
        <v/>
      </c>
      <c r="M140" s="6" t="str">
        <v/>
      </c>
      <c r="N140" s="6" t="str">
        <v/>
      </c>
      <c r="O140" s="6">
        <v>5</v>
      </c>
      <c r="P140" s="6">
        <v>5</v>
      </c>
      <c r="Q140" s="6">
        <v>5</v>
      </c>
      <c r="R140" s="6">
        <v>5</v>
      </c>
      <c r="S140" s="6">
        <v>5</v>
      </c>
      <c r="T140" s="6" t="str">
        <v/>
      </c>
      <c r="U140" s="6" t="str">
        <v/>
      </c>
      <c r="V140" s="6" t="str">
        <v/>
      </c>
      <c r="W140" s="6" t="str">
        <v/>
      </c>
      <c r="X140" s="6" t="str">
        <v/>
      </c>
      <c r="Y140" t="s">
        <v>290</v>
      </c>
      <c r="Z140" t="s">
        <v>217</v>
      </c>
    </row>
    <row r="141" spans="1:26">
      <c r="A141" t="str">
        <v>141行</v>
      </c>
      <c r="B141" t="str">
        <f ca="1"/>
        <v/>
      </c>
      <c r="C141" t="str">
        <f ca="1"/>
        <v>- O460：作業種類_10（現在の内容：""）</v>
      </c>
      <c r="H141" t="s">
        <v>265</v>
      </c>
      <c r="I141">
        <v>13</v>
      </c>
      <c r="J141" s="6" t="str">
        <v>南大阪</v>
      </c>
      <c r="K141" s="6" t="str">
        <v>南大阪</v>
      </c>
      <c r="L141" s="6" t="str">
        <v/>
      </c>
      <c r="M141" s="6" t="str">
        <v/>
      </c>
      <c r="N141" s="6" t="str">
        <v/>
      </c>
      <c r="O141" s="6">
        <v>4</v>
      </c>
      <c r="P141" s="6">
        <v>4</v>
      </c>
      <c r="Q141" s="6">
        <v>4</v>
      </c>
      <c r="R141" s="6">
        <v>4</v>
      </c>
      <c r="S141" s="6">
        <v>4</v>
      </c>
      <c r="T141" s="6" t="str">
        <v/>
      </c>
      <c r="U141" s="6" t="str">
        <v/>
      </c>
      <c r="V141" s="6" t="str">
        <v/>
      </c>
      <c r="W141" s="6" t="str">
        <v/>
      </c>
      <c r="X141" s="6" t="str">
        <v/>
      </c>
      <c r="Y141" t="s">
        <v>294</v>
      </c>
      <c r="Z141" t="s">
        <v>217</v>
      </c>
    </row>
    <row r="142" spans="1:26">
      <c r="A142" t="str">
        <v>142行</v>
      </c>
      <c r="B142" t="str">
        <f ca="1"/>
        <v/>
      </c>
      <c r="C142" t="str">
        <f ca="1"/>
        <v>- O461：作業種類_11（現在の内容：""）</v>
      </c>
      <c r="H142" t="s">
        <v>259</v>
      </c>
      <c r="I142">
        <v>14</v>
      </c>
      <c r="J142" s="6" t="str">
        <v>南大阪</v>
      </c>
      <c r="K142" s="6" t="str">
        <v>南大阪</v>
      </c>
      <c r="L142" s="6" t="str">
        <v/>
      </c>
      <c r="M142" s="6" t="str">
        <v/>
      </c>
      <c r="N142" s="6" t="str">
        <v/>
      </c>
      <c r="O142" s="6">
        <v>4</v>
      </c>
      <c r="P142" s="6">
        <v>4</v>
      </c>
      <c r="Q142" s="6">
        <v>4</v>
      </c>
      <c r="R142" s="6">
        <v>4</v>
      </c>
      <c r="S142" s="6">
        <v>4</v>
      </c>
      <c r="T142" s="6" t="str">
        <v/>
      </c>
      <c r="U142" s="6" t="str">
        <v/>
      </c>
      <c r="V142" s="6" t="str">
        <v/>
      </c>
      <c r="W142" s="6" t="str">
        <v/>
      </c>
      <c r="X142" s="6" t="str">
        <v/>
      </c>
      <c r="Y142" t="s">
        <v>297</v>
      </c>
      <c r="Z142" t="s">
        <v>217</v>
      </c>
    </row>
    <row r="143" spans="1:26">
      <c r="A143" t="str">
        <v>143行</v>
      </c>
      <c r="B143" t="str">
        <f ca="1"/>
        <v/>
      </c>
      <c r="C143" t="str">
        <f ca="1"/>
        <v>- O462：作業種類_12（現在の内容：""）</v>
      </c>
      <c r="H143" t="s">
        <v>272</v>
      </c>
      <c r="I143">
        <v>15</v>
      </c>
      <c r="J143" s="6" t="str">
        <v>南大阪</v>
      </c>
      <c r="K143" s="6" t="str">
        <v>南大阪</v>
      </c>
      <c r="L143" s="6" t="str">
        <v/>
      </c>
      <c r="M143" s="6" t="str">
        <v/>
      </c>
      <c r="N143" s="6" t="str">
        <v/>
      </c>
      <c r="O143" s="6">
        <v>4</v>
      </c>
      <c r="P143" s="6">
        <v>4</v>
      </c>
      <c r="Q143" s="6">
        <v>4</v>
      </c>
      <c r="R143" s="6">
        <v>4</v>
      </c>
      <c r="S143" s="6">
        <v>4</v>
      </c>
      <c r="T143" s="6" t="str">
        <v/>
      </c>
      <c r="U143" s="6" t="str">
        <v/>
      </c>
      <c r="V143" s="6" t="str">
        <v/>
      </c>
      <c r="W143" s="6" t="str">
        <v/>
      </c>
      <c r="X143" s="6" t="str">
        <v/>
      </c>
      <c r="Y143" t="s">
        <v>300</v>
      </c>
      <c r="Z143" t="s">
        <v>217</v>
      </c>
    </row>
    <row r="144" spans="1:26">
      <c r="A144" t="str">
        <v>144行</v>
      </c>
      <c r="B144" t="str">
        <f ca="1"/>
        <v/>
      </c>
      <c r="C144" t="str">
        <f ca="1"/>
        <v>- O463：作業種類_13（現在の内容：""）</v>
      </c>
      <c r="H144" t="s">
        <v>263</v>
      </c>
      <c r="I144">
        <v>16</v>
      </c>
      <c r="J144" s="6" t="str">
        <v>南大阪</v>
      </c>
      <c r="K144" s="6" t="str">
        <v>南大阪</v>
      </c>
      <c r="L144" s="6" t="str">
        <v/>
      </c>
      <c r="M144" s="6" t="str">
        <v/>
      </c>
      <c r="N144" s="6" t="str">
        <v/>
      </c>
      <c r="O144" s="6">
        <v>5</v>
      </c>
      <c r="P144" s="6">
        <v>5</v>
      </c>
      <c r="Q144" s="6">
        <v>5</v>
      </c>
      <c r="R144" s="6">
        <v>5</v>
      </c>
      <c r="S144" s="6">
        <v>5</v>
      </c>
      <c r="T144" s="6" t="str">
        <v/>
      </c>
      <c r="U144" s="6" t="str">
        <v/>
      </c>
      <c r="V144" s="6" t="str">
        <v/>
      </c>
      <c r="W144" s="6" t="str">
        <v/>
      </c>
      <c r="X144" s="6" t="str">
        <v/>
      </c>
      <c r="Y144" t="s">
        <v>303</v>
      </c>
      <c r="Z144" t="s">
        <v>217</v>
      </c>
    </row>
    <row r="145" spans="1:26">
      <c r="A145" t="str">
        <v>145行</v>
      </c>
      <c r="B145" t="str">
        <f ca="1"/>
        <v/>
      </c>
      <c r="C145" t="str">
        <f ca="1"/>
        <v>- O464：作業種類_14（現在の内容：""）</v>
      </c>
      <c r="H145" t="s">
        <v>265</v>
      </c>
      <c r="I145">
        <v>17</v>
      </c>
      <c r="J145" s="6" t="str">
        <v>神戸</v>
      </c>
      <c r="K145" s="6" t="str">
        <v>神戸</v>
      </c>
      <c r="L145" s="6" t="str">
        <v/>
      </c>
      <c r="M145" s="6" t="str">
        <v/>
      </c>
      <c r="N145" s="6" t="str">
        <v/>
      </c>
      <c r="O145" s="6">
        <v>4</v>
      </c>
      <c r="P145" s="6">
        <v>4</v>
      </c>
      <c r="Q145" s="6">
        <v>4</v>
      </c>
      <c r="R145" s="6">
        <v>4</v>
      </c>
      <c r="S145" s="6">
        <v>4</v>
      </c>
      <c r="T145" s="6" t="str">
        <v/>
      </c>
      <c r="U145" s="6" t="str">
        <v/>
      </c>
      <c r="V145" s="6" t="str">
        <v/>
      </c>
      <c r="W145" s="6" t="str">
        <v/>
      </c>
      <c r="X145" s="6" t="str">
        <v/>
      </c>
      <c r="Y145" t="s">
        <v>307</v>
      </c>
      <c r="Z145" t="s">
        <v>217</v>
      </c>
    </row>
    <row r="146" spans="1:26">
      <c r="A146" t="str">
        <v>146行</v>
      </c>
      <c r="B146" t="str">
        <f ca="1"/>
        <v/>
      </c>
      <c r="C146" t="str">
        <f ca="1"/>
        <v>- O465：作業種類_15（現在の内容：""）</v>
      </c>
      <c r="H146" t="s">
        <v>259</v>
      </c>
      <c r="I146">
        <v>18</v>
      </c>
      <c r="J146" s="6" t="str">
        <v>神戸</v>
      </c>
      <c r="K146" s="6" t="str">
        <v>神戸</v>
      </c>
      <c r="L146" s="6" t="str">
        <v/>
      </c>
      <c r="M146" s="6" t="str">
        <v/>
      </c>
      <c r="N146" s="6" t="str">
        <v/>
      </c>
      <c r="O146" s="6">
        <v>4</v>
      </c>
      <c r="P146" s="6">
        <v>4</v>
      </c>
      <c r="Q146" s="6">
        <v>4</v>
      </c>
      <c r="R146" s="6">
        <v>4</v>
      </c>
      <c r="S146" s="6">
        <v>4</v>
      </c>
      <c r="T146" s="6" t="str">
        <v/>
      </c>
      <c r="U146" s="6" t="str">
        <v/>
      </c>
      <c r="V146" s="6" t="str">
        <v/>
      </c>
      <c r="W146" s="6" t="str">
        <v/>
      </c>
      <c r="X146" s="6" t="str">
        <v/>
      </c>
      <c r="Y146" t="s">
        <v>308</v>
      </c>
      <c r="Z146" t="s">
        <v>217</v>
      </c>
    </row>
    <row r="147" spans="1:26">
      <c r="A147" t="str">
        <v>147行</v>
      </c>
      <c r="B147" t="str">
        <f ca="1"/>
        <v/>
      </c>
      <c r="C147" t="str">
        <f ca="1"/>
        <v>- O466：作業種類_16（現在の内容：""）</v>
      </c>
      <c r="H147" t="s">
        <v>272</v>
      </c>
      <c r="I147">
        <v>19</v>
      </c>
      <c r="J147" s="6" t="str">
        <v>神戸</v>
      </c>
      <c r="K147" s="6" t="str">
        <v>神戸</v>
      </c>
      <c r="L147" s="6" t="str">
        <v/>
      </c>
      <c r="M147" s="6" t="str">
        <v/>
      </c>
      <c r="N147" s="6" t="str">
        <v/>
      </c>
      <c r="O147" s="6">
        <v>4</v>
      </c>
      <c r="P147" s="6">
        <v>4</v>
      </c>
      <c r="Q147" s="6">
        <v>4</v>
      </c>
      <c r="R147" s="6">
        <v>4</v>
      </c>
      <c r="S147" s="6">
        <v>4</v>
      </c>
      <c r="T147" s="6" t="str">
        <v/>
      </c>
      <c r="U147" s="6" t="str">
        <v/>
      </c>
      <c r="V147" s="6" t="str">
        <v/>
      </c>
      <c r="W147" s="6" t="str">
        <v/>
      </c>
      <c r="X147" s="6" t="str">
        <v/>
      </c>
      <c r="Y147" t="s">
        <v>309</v>
      </c>
      <c r="Z147" t="s">
        <v>217</v>
      </c>
    </row>
    <row r="148" spans="1:26">
      <c r="A148" t="str">
        <v>148行</v>
      </c>
      <c r="B148" t="str">
        <f ca="1"/>
        <v/>
      </c>
      <c r="C148" t="str">
        <f ca="1"/>
        <v>- O467：作業種類_17（現在の内容：""）</v>
      </c>
      <c r="H148" t="s">
        <v>263</v>
      </c>
      <c r="I148">
        <v>20</v>
      </c>
      <c r="J148" s="6" t="str">
        <v>神戸</v>
      </c>
      <c r="K148" s="6" t="str">
        <v>神戸</v>
      </c>
      <c r="L148" s="6" t="str">
        <v/>
      </c>
      <c r="M148" s="6" t="str">
        <v/>
      </c>
      <c r="N148" s="6" t="str">
        <v/>
      </c>
      <c r="O148" s="6">
        <v>5</v>
      </c>
      <c r="P148" s="6">
        <v>5</v>
      </c>
      <c r="Q148" s="6">
        <v>5</v>
      </c>
      <c r="R148" s="6">
        <v>5</v>
      </c>
      <c r="S148" s="6">
        <v>5</v>
      </c>
      <c r="T148" s="6" t="str">
        <v/>
      </c>
      <c r="U148" s="6" t="str">
        <v/>
      </c>
      <c r="V148" s="6" t="str">
        <v/>
      </c>
      <c r="W148" s="6" t="str">
        <v/>
      </c>
      <c r="X148" s="6" t="str">
        <v/>
      </c>
      <c r="Y148" t="s">
        <v>312</v>
      </c>
      <c r="Z148" t="s">
        <v>217</v>
      </c>
    </row>
    <row r="149" spans="1:26">
      <c r="A149" t="str">
        <v>149行</v>
      </c>
      <c r="B149" t="str">
        <f ca="1"/>
        <v/>
      </c>
      <c r="C149" t="str">
        <f ca="1"/>
        <v>- O468：作業種類_18（現在の内容：""）</v>
      </c>
      <c r="H149" t="s">
        <v>265</v>
      </c>
      <c r="I149">
        <v>21</v>
      </c>
      <c r="J149" s="6" t="str">
        <v>神戸</v>
      </c>
      <c r="K149" s="6" t="str">
        <v>尼崎</v>
      </c>
      <c r="L149" s="6" t="str">
        <v/>
      </c>
      <c r="M149" s="6" t="str">
        <v/>
      </c>
      <c r="N149" s="6" t="str">
        <v/>
      </c>
      <c r="O149" s="6">
        <v>4</v>
      </c>
      <c r="P149" s="6">
        <v>4</v>
      </c>
      <c r="Q149" s="6">
        <v>4</v>
      </c>
      <c r="R149" s="6">
        <v>4</v>
      </c>
      <c r="S149" s="6">
        <v>4</v>
      </c>
      <c r="T149" s="6" t="str">
        <v/>
      </c>
      <c r="U149" s="6" t="str">
        <v/>
      </c>
      <c r="V149" s="6" t="str">
        <v/>
      </c>
      <c r="W149" s="6" t="str">
        <v/>
      </c>
      <c r="X149" s="6" t="str">
        <v/>
      </c>
      <c r="Y149" t="s">
        <v>316</v>
      </c>
      <c r="Z149" t="s">
        <v>217</v>
      </c>
    </row>
    <row r="150" spans="1:26">
      <c r="A150" t="str">
        <v>150行</v>
      </c>
      <c r="B150" t="str">
        <f ca="1"/>
        <v/>
      </c>
      <c r="C150" t="str">
        <f ca="1"/>
        <v>- O469：作業種類_19（現在の内容：""）</v>
      </c>
      <c r="H150" t="s">
        <v>259</v>
      </c>
      <c r="I150">
        <v>22</v>
      </c>
      <c r="J150" s="6" t="str">
        <v>神戸</v>
      </c>
      <c r="K150" s="6" t="str">
        <v>尼崎</v>
      </c>
      <c r="L150" s="6" t="str">
        <v/>
      </c>
      <c r="M150" s="6" t="str">
        <v/>
      </c>
      <c r="N150" s="6" t="str">
        <v/>
      </c>
      <c r="O150" s="6">
        <v>4</v>
      </c>
      <c r="P150" s="6">
        <v>4</v>
      </c>
      <c r="Q150" s="6">
        <v>4</v>
      </c>
      <c r="R150" s="6">
        <v>4</v>
      </c>
      <c r="S150" s="6">
        <v>4</v>
      </c>
      <c r="T150" s="6" t="str">
        <v/>
      </c>
      <c r="U150" s="6" t="str">
        <v/>
      </c>
      <c r="V150" s="6" t="str">
        <v/>
      </c>
      <c r="W150" s="6" t="str">
        <v/>
      </c>
      <c r="X150" s="6" t="str">
        <v/>
      </c>
      <c r="Y150" t="s">
        <v>319</v>
      </c>
      <c r="Z150" t="s">
        <v>217</v>
      </c>
    </row>
    <row r="151" spans="1:26">
      <c r="A151" t="str">
        <v>151行</v>
      </c>
      <c r="B151" t="str">
        <f ca="1"/>
        <v/>
      </c>
      <c r="C151" t="str">
        <f ca="1"/>
        <v>- O470：作業種類_20（現在の内容：""）</v>
      </c>
      <c r="H151" t="s">
        <v>272</v>
      </c>
      <c r="I151">
        <v>23</v>
      </c>
      <c r="J151" s="6" t="str">
        <v>神戸</v>
      </c>
      <c r="K151" s="6" t="str">
        <v>尼崎</v>
      </c>
      <c r="L151" s="6" t="str">
        <v/>
      </c>
      <c r="M151" s="6" t="str">
        <v/>
      </c>
      <c r="N151" s="6" t="str">
        <v/>
      </c>
      <c r="O151" s="6">
        <v>4</v>
      </c>
      <c r="P151" s="6">
        <v>4</v>
      </c>
      <c r="Q151" s="6">
        <v>4</v>
      </c>
      <c r="R151" s="6">
        <v>4</v>
      </c>
      <c r="S151" s="6">
        <v>4</v>
      </c>
      <c r="T151" s="6" t="str">
        <v/>
      </c>
      <c r="U151" s="6" t="str">
        <v/>
      </c>
      <c r="V151" s="6" t="str">
        <v/>
      </c>
      <c r="W151" s="6" t="str">
        <v/>
      </c>
      <c r="X151" s="6" t="str">
        <v/>
      </c>
      <c r="Y151" t="s">
        <v>322</v>
      </c>
      <c r="Z151" t="s">
        <v>217</v>
      </c>
    </row>
    <row r="152" spans="1:26">
      <c r="A152" t="str">
        <v>152行</v>
      </c>
      <c r="B152" t="str">
        <f ca="1"/>
        <v/>
      </c>
      <c r="C152" t="str">
        <f ca="1"/>
        <v>- O481：担当の名前_1（現在の内容：""）</v>
      </c>
      <c r="H152" t="s">
        <v>263</v>
      </c>
      <c r="I152">
        <v>24</v>
      </c>
      <c r="J152" s="6" t="str">
        <v>神戸</v>
      </c>
      <c r="K152" s="6" t="str">
        <v>尼崎</v>
      </c>
      <c r="L152" s="6" t="str">
        <v/>
      </c>
      <c r="M152" s="6" t="str">
        <v/>
      </c>
      <c r="N152" s="6" t="str">
        <v/>
      </c>
      <c r="O152" s="6">
        <v>5</v>
      </c>
      <c r="P152" s="6">
        <v>5</v>
      </c>
      <c r="Q152" s="6">
        <v>5</v>
      </c>
      <c r="R152" s="6">
        <v>5</v>
      </c>
      <c r="S152" s="6">
        <v>5</v>
      </c>
      <c r="T152" s="6" t="str">
        <v/>
      </c>
      <c r="U152" s="6" t="str">
        <v/>
      </c>
      <c r="V152" s="6" t="str">
        <v/>
      </c>
      <c r="W152" s="6" t="str">
        <v/>
      </c>
      <c r="X152" s="6" t="str">
        <v/>
      </c>
      <c r="Y152" t="s">
        <v>325</v>
      </c>
      <c r="Z152" t="s">
        <v>217</v>
      </c>
    </row>
    <row r="153" spans="1:26">
      <c r="A153" t="str">
        <v>153行</v>
      </c>
      <c r="B153" t="str">
        <f ca="1"/>
        <v/>
      </c>
      <c r="C153" t="str">
        <f ca="1"/>
        <v>- O482：担当の名前_2（現在の内容：""）</v>
      </c>
      <c r="H153" t="s">
        <v>265</v>
      </c>
      <c r="I153">
        <v>25</v>
      </c>
      <c r="J153" s="6" t="str">
        <v>奈良</v>
      </c>
      <c r="K153" s="6" t="str">
        <v>奈良・吉野</v>
      </c>
      <c r="L153" s="6" t="str">
        <v/>
      </c>
      <c r="M153" s="6" t="str">
        <v/>
      </c>
      <c r="N153" s="6" t="str">
        <v/>
      </c>
      <c r="O153" s="6">
        <v>4</v>
      </c>
      <c r="P153" s="6">
        <v>4</v>
      </c>
      <c r="Q153" s="6">
        <v>4</v>
      </c>
      <c r="R153" s="6">
        <v>4</v>
      </c>
      <c r="S153" s="6">
        <v>4</v>
      </c>
      <c r="T153" s="6" t="str">
        <v/>
      </c>
      <c r="U153" s="6" t="str">
        <v/>
      </c>
      <c r="V153" s="6" t="str">
        <v/>
      </c>
      <c r="W153" s="6" t="str">
        <v/>
      </c>
      <c r="X153" s="6" t="str">
        <v/>
      </c>
      <c r="Y153" t="s">
        <v>330</v>
      </c>
      <c r="Z153" t="s">
        <v>217</v>
      </c>
    </row>
    <row r="154" spans="1:26">
      <c r="A154" t="str">
        <v>154行</v>
      </c>
      <c r="B154" t="str">
        <f ca="1"/>
        <v/>
      </c>
      <c r="C154" t="str">
        <f ca="1"/>
        <v>- O483：担当の名前_3（現在の内容：""）</v>
      </c>
      <c r="H154" t="s">
        <v>259</v>
      </c>
      <c r="I154">
        <v>26</v>
      </c>
      <c r="J154" s="6" t="str">
        <v>奈良</v>
      </c>
      <c r="K154" s="6" t="str">
        <v>奈良・吉野</v>
      </c>
      <c r="L154" s="6" t="str">
        <v/>
      </c>
      <c r="M154" s="6" t="str">
        <v/>
      </c>
      <c r="N154" s="6" t="str">
        <v/>
      </c>
      <c r="O154" s="6">
        <v>4</v>
      </c>
      <c r="P154" s="6">
        <v>4</v>
      </c>
      <c r="Q154" s="6">
        <v>4</v>
      </c>
      <c r="R154" s="6">
        <v>4</v>
      </c>
      <c r="S154" s="6">
        <v>4</v>
      </c>
      <c r="T154" s="6" t="str">
        <v/>
      </c>
      <c r="U154" s="6" t="str">
        <v/>
      </c>
      <c r="V154" s="6" t="str">
        <v/>
      </c>
      <c r="W154" s="6" t="str">
        <v/>
      </c>
      <c r="X154" s="6" t="str">
        <v/>
      </c>
      <c r="Y154" t="s">
        <v>333</v>
      </c>
      <c r="Z154" t="s">
        <v>217</v>
      </c>
    </row>
    <row r="155" spans="1:26">
      <c r="A155" t="str">
        <v>155行</v>
      </c>
      <c r="B155" t="str">
        <f ca="1"/>
        <v/>
      </c>
      <c r="C155" t="str">
        <f ca="1"/>
        <v>- O484：担当の名前_4（現在の内容：""）</v>
      </c>
      <c r="H155" t="s">
        <v>272</v>
      </c>
      <c r="I155">
        <v>27</v>
      </c>
      <c r="J155" s="6" t="str">
        <v>奈良</v>
      </c>
      <c r="K155" s="6" t="str">
        <v>奈良・吉野</v>
      </c>
      <c r="L155" s="6" t="str">
        <v/>
      </c>
      <c r="M155" s="6" t="str">
        <v/>
      </c>
      <c r="N155" s="6" t="str">
        <v/>
      </c>
      <c r="O155" s="6">
        <v>4</v>
      </c>
      <c r="P155" s="6">
        <v>4</v>
      </c>
      <c r="Q155" s="6">
        <v>4</v>
      </c>
      <c r="R155" s="6">
        <v>4</v>
      </c>
      <c r="S155" s="6">
        <v>4</v>
      </c>
      <c r="T155" s="6" t="str">
        <v/>
      </c>
      <c r="U155" s="6" t="str">
        <v/>
      </c>
      <c r="V155" s="6" t="str">
        <v/>
      </c>
      <c r="W155" s="6" t="str">
        <v/>
      </c>
      <c r="X155" s="6" t="str">
        <v/>
      </c>
      <c r="Y155" t="s">
        <v>336</v>
      </c>
      <c r="Z155" t="s">
        <v>217</v>
      </c>
    </row>
    <row r="156" spans="1:26">
      <c r="A156" t="str">
        <v>156行</v>
      </c>
      <c r="B156" t="str">
        <f ca="1"/>
        <v/>
      </c>
      <c r="C156" t="str">
        <f ca="1"/>
        <v>- O485：担当の名前_5（現在の内容：""）</v>
      </c>
      <c r="H156" t="s">
        <v>265</v>
      </c>
      <c r="I156">
        <v>28</v>
      </c>
      <c r="J156" s="6" t="str">
        <v>吉野水力ｾﾝﾀｰ</v>
      </c>
      <c r="K156" s="6" t="str">
        <v>吉野水力ｾﾝﾀｰ</v>
      </c>
      <c r="L156" s="6" t="str">
        <v/>
      </c>
      <c r="M156" s="6" t="str">
        <v/>
      </c>
      <c r="N156" s="6" t="str">
        <v/>
      </c>
      <c r="O156" s="6">
        <v>4</v>
      </c>
      <c r="P156" s="6">
        <v>4</v>
      </c>
      <c r="Q156" s="6">
        <v>4</v>
      </c>
      <c r="R156" s="6">
        <v>4</v>
      </c>
      <c r="S156" s="6">
        <v>4</v>
      </c>
      <c r="T156" s="6" t="str">
        <v/>
      </c>
      <c r="U156" s="6" t="str">
        <v/>
      </c>
      <c r="V156" s="6" t="str">
        <v/>
      </c>
      <c r="W156" s="6" t="str">
        <v/>
      </c>
      <c r="X156" s="6" t="str">
        <v/>
      </c>
      <c r="Y156" t="s">
        <v>340</v>
      </c>
      <c r="Z156" t="s">
        <v>217</v>
      </c>
    </row>
    <row r="157" spans="1:26">
      <c r="A157" t="str">
        <v>157行</v>
      </c>
      <c r="B157" t="str">
        <f ca="1"/>
        <v/>
      </c>
      <c r="C157" t="str">
        <f ca="1"/>
        <v>- O486：担当の名前_6（現在の内容：""）</v>
      </c>
      <c r="H157" t="s">
        <v>259</v>
      </c>
      <c r="I157">
        <v>29</v>
      </c>
      <c r="J157" s="6" t="str">
        <v>吉野水力ｾﾝﾀｰ</v>
      </c>
      <c r="K157" s="6" t="str">
        <v>吉野水力ｾﾝﾀｰ</v>
      </c>
      <c r="L157" s="6" t="str">
        <v/>
      </c>
      <c r="M157" s="6" t="str">
        <v/>
      </c>
      <c r="N157" s="6" t="str">
        <v/>
      </c>
      <c r="O157" s="6">
        <v>4</v>
      </c>
      <c r="P157" s="6">
        <v>4</v>
      </c>
      <c r="Q157" s="6">
        <v>4</v>
      </c>
      <c r="R157" s="6">
        <v>4</v>
      </c>
      <c r="S157" s="6">
        <v>4</v>
      </c>
      <c r="T157" s="6" t="str">
        <v/>
      </c>
      <c r="U157" s="6" t="str">
        <v/>
      </c>
      <c r="V157" s="6" t="str">
        <v/>
      </c>
      <c r="W157" s="6" t="str">
        <v/>
      </c>
      <c r="X157" s="6" t="str">
        <v/>
      </c>
      <c r="Y157" t="s">
        <v>343</v>
      </c>
      <c r="Z157" t="s">
        <v>217</v>
      </c>
    </row>
    <row r="158" spans="1:26">
      <c r="A158" t="str">
        <v>158行</v>
      </c>
      <c r="B158" t="str">
        <f ca="1"/>
        <v/>
      </c>
      <c r="C158" t="str">
        <f ca="1"/>
        <v>- O487：担当の名前_7（現在の内容：""）</v>
      </c>
      <c r="H158" t="s">
        <v>265</v>
      </c>
      <c r="I158">
        <v>30</v>
      </c>
      <c r="J158" s="6" t="str">
        <v>応援他</v>
      </c>
      <c r="K158" s="6" t="str">
        <v>応援他</v>
      </c>
      <c r="L158" s="6" t="str">
        <v/>
      </c>
      <c r="M158" s="6" t="str">
        <v/>
      </c>
      <c r="N158" s="6" t="str">
        <v/>
      </c>
      <c r="O158" s="6">
        <v>4</v>
      </c>
      <c r="P158" s="6">
        <v>4</v>
      </c>
      <c r="Q158" s="6">
        <v>4</v>
      </c>
      <c r="R158" s="6">
        <v>4</v>
      </c>
      <c r="S158" s="6">
        <v>4</v>
      </c>
      <c r="T158" s="6" t="str">
        <v/>
      </c>
      <c r="U158" s="6" t="str">
        <v/>
      </c>
      <c r="V158" s="6" t="str">
        <v/>
      </c>
      <c r="W158" s="6" t="str">
        <v/>
      </c>
      <c r="X158" s="6" t="str">
        <v/>
      </c>
      <c r="Y158" t="s">
        <v>347</v>
      </c>
      <c r="Z158" t="s">
        <v>217</v>
      </c>
    </row>
    <row r="159" spans="1:26">
      <c r="A159" t="str">
        <v>159行</v>
      </c>
      <c r="B159" t="str">
        <f ca="1"/>
        <v/>
      </c>
      <c r="C159" t="str">
        <f ca="1"/>
        <v>- O488：担当の名前_8（現在の内容：""）</v>
      </c>
      <c r="H159" t="s">
        <v>259</v>
      </c>
      <c r="I159">
        <v>31</v>
      </c>
      <c r="J159" s="6" t="str">
        <v>応援他</v>
      </c>
      <c r="K159" s="6" t="str">
        <v>応援他</v>
      </c>
      <c r="L159" s="6" t="str">
        <v/>
      </c>
      <c r="M159" s="6" t="str">
        <v/>
      </c>
      <c r="N159" s="6" t="str">
        <v/>
      </c>
      <c r="O159" s="6">
        <v>4</v>
      </c>
      <c r="P159" s="6">
        <v>4</v>
      </c>
      <c r="Q159" s="6">
        <v>4</v>
      </c>
      <c r="R159" s="6">
        <v>4</v>
      </c>
      <c r="S159" s="6">
        <v>4</v>
      </c>
      <c r="T159" s="6" t="str">
        <v/>
      </c>
      <c r="U159" s="6" t="str">
        <v/>
      </c>
      <c r="V159" s="6" t="str">
        <v/>
      </c>
      <c r="W159" s="6" t="str">
        <v/>
      </c>
      <c r="X159" s="6" t="str">
        <v/>
      </c>
      <c r="Y159" t="s">
        <v>350</v>
      </c>
      <c r="Z159" t="s">
        <v>217</v>
      </c>
    </row>
    <row r="160" spans="1:26">
      <c r="A160" t="str">
        <v>160行</v>
      </c>
      <c r="B160" t="str">
        <f ca="1"/>
        <v/>
      </c>
      <c r="C160" t="str">
        <f ca="1"/>
        <v>- O489：担当の名前_9（現在の内容：""）</v>
      </c>
      <c r="H160" t="s">
        <v>272</v>
      </c>
      <c r="I160">
        <v>32</v>
      </c>
      <c r="J160" s="6" t="str">
        <v>応援他</v>
      </c>
      <c r="K160" s="6" t="str">
        <v>応援他</v>
      </c>
      <c r="L160" s="6" t="str">
        <v/>
      </c>
      <c r="M160" s="6" t="str">
        <v/>
      </c>
      <c r="N160" s="6" t="str">
        <v/>
      </c>
      <c r="O160" s="6">
        <v>4</v>
      </c>
      <c r="P160" s="6">
        <v>4</v>
      </c>
      <c r="Q160" s="6">
        <v>4</v>
      </c>
      <c r="R160" s="6">
        <v>4</v>
      </c>
      <c r="S160" s="6">
        <v>4</v>
      </c>
      <c r="T160" s="6" t="str">
        <v/>
      </c>
      <c r="U160" s="6" t="str">
        <v/>
      </c>
      <c r="V160" s="6" t="str">
        <v/>
      </c>
      <c r="W160" s="6" t="str">
        <v/>
      </c>
      <c r="X160" s="6" t="str">
        <v/>
      </c>
      <c r="Y160" t="s">
        <v>351</v>
      </c>
      <c r="Z160" t="s">
        <v>217</v>
      </c>
    </row>
    <row r="161" spans="1:26">
      <c r="A161" t="str">
        <v>161行</v>
      </c>
      <c r="B161" t="str">
        <f ca="1"/>
        <v/>
      </c>
      <c r="C161" t="str">
        <f ca="1"/>
        <v>- O490：担当の名前_10（現在の内容：""）</v>
      </c>
      <c r="H161" t="s">
        <v>265</v>
      </c>
      <c r="I161">
        <v>33</v>
      </c>
      <c r="J161" s="6" t="str">
        <v>応援･教育･その他</v>
      </c>
      <c r="K161" s="6" t="str">
        <v>応援･教育･その他</v>
      </c>
      <c r="L161" s="6" t="str">
        <v/>
      </c>
      <c r="M161" s="6" t="str">
        <v/>
      </c>
      <c r="N161" s="6" t="str">
        <v/>
      </c>
      <c r="O161" s="6">
        <v>4</v>
      </c>
      <c r="P161" s="6">
        <v>4</v>
      </c>
      <c r="Q161" s="6">
        <v>4</v>
      </c>
      <c r="R161" s="6">
        <v>4</v>
      </c>
      <c r="S161" s="6">
        <v>4</v>
      </c>
      <c r="T161" s="6" t="str">
        <v/>
      </c>
      <c r="U161" s="6" t="str">
        <v/>
      </c>
      <c r="V161" s="6" t="str">
        <v/>
      </c>
      <c r="W161" s="6" t="str">
        <v/>
      </c>
      <c r="X161" s="6" t="str">
        <v/>
      </c>
      <c r="Y161" t="s">
        <v>353</v>
      </c>
      <c r="Z161" t="s">
        <v>217</v>
      </c>
    </row>
    <row r="162" spans="1:26">
      <c r="A162" t="str">
        <v>162行</v>
      </c>
      <c r="B162" t="str">
        <f ca="1"/>
        <v/>
      </c>
      <c r="C162" t="str">
        <f ca="1"/>
        <v>- O503：人数（現在の内容：""）</v>
      </c>
      <c r="H162" t="s">
        <v>259</v>
      </c>
      <c r="I162">
        <v>34</v>
      </c>
      <c r="J162" s="6" t="str">
        <v>応援･教育･その他</v>
      </c>
      <c r="K162" s="6" t="str">
        <v>応援･教育･その他</v>
      </c>
      <c r="L162" s="6" t="str">
        <v/>
      </c>
      <c r="M162" s="6" t="str">
        <v/>
      </c>
      <c r="N162" s="6" t="str">
        <v/>
      </c>
      <c r="O162" s="6">
        <v>4</v>
      </c>
      <c r="P162" s="6">
        <v>4</v>
      </c>
      <c r="Q162" s="6">
        <v>4</v>
      </c>
      <c r="R162" s="6">
        <v>4</v>
      </c>
      <c r="S162" s="6">
        <v>4</v>
      </c>
      <c r="T162" s="6" t="str">
        <v/>
      </c>
      <c r="U162" s="6" t="str">
        <v/>
      </c>
      <c r="V162" s="6" t="str">
        <v/>
      </c>
      <c r="W162" s="6" t="str">
        <v/>
      </c>
      <c r="X162" s="6" t="str">
        <v/>
      </c>
      <c r="Y162" t="s">
        <v>356</v>
      </c>
      <c r="Z162" t="s">
        <v>217</v>
      </c>
    </row>
    <row r="163" spans="1:26">
      <c r="A163" t="str">
        <v>163行</v>
      </c>
      <c r="B163" t="str">
        <f ca="1"/>
        <v/>
      </c>
      <c r="C163" t="str">
        <f ca="1"/>
        <v>- O514：作業箇所の種類（現在の内容：""）</v>
      </c>
      <c r="H163" t="s">
        <v>272</v>
      </c>
      <c r="I163">
        <v>35</v>
      </c>
      <c r="J163" s="6" t="str">
        <v>応援･教育･その他</v>
      </c>
      <c r="K163" s="6" t="str">
        <v>応援･教育･その他</v>
      </c>
      <c r="L163" s="6" t="str">
        <v/>
      </c>
      <c r="M163" s="6" t="str">
        <v/>
      </c>
      <c r="N163" s="6" t="str">
        <v/>
      </c>
      <c r="O163" s="6">
        <v>4</v>
      </c>
      <c r="P163" s="6">
        <v>4</v>
      </c>
      <c r="Q163" s="6">
        <v>4</v>
      </c>
      <c r="R163" s="6">
        <v>4</v>
      </c>
      <c r="S163" s="6">
        <v>4</v>
      </c>
      <c r="T163" s="6" t="str">
        <v/>
      </c>
      <c r="U163" s="6" t="str">
        <v/>
      </c>
      <c r="V163" s="6" t="str">
        <v/>
      </c>
      <c r="W163" s="6" t="str">
        <v/>
      </c>
      <c r="X163" s="6" t="str">
        <v/>
      </c>
      <c r="Y163" t="s">
        <v>359</v>
      </c>
      <c r="Z163" t="s">
        <v>217</v>
      </c>
    </row>
    <row r="164" spans="1:26">
      <c r="A164" t="str">
        <v>164行</v>
      </c>
      <c r="B164" t="str">
        <f ca="1"/>
        <v/>
      </c>
      <c r="C164" t="str">
        <f ca="1"/>
        <v>- O525：作業箇所_1（現在の内容：""）</v>
      </c>
      <c r="H164" t="s">
        <v>263</v>
      </c>
      <c r="I164">
        <v>36</v>
      </c>
      <c r="J164" s="6" t="str">
        <v>応援･教育･その他</v>
      </c>
      <c r="K164" s="6" t="str">
        <v>応援･教育･その他</v>
      </c>
      <c r="L164" s="6" t="str">
        <v/>
      </c>
      <c r="M164" s="6" t="str">
        <v/>
      </c>
      <c r="N164" s="6" t="str">
        <v/>
      </c>
      <c r="O164" s="6">
        <v>4</v>
      </c>
      <c r="P164" s="6">
        <v>4</v>
      </c>
      <c r="Q164" s="6">
        <v>4</v>
      </c>
      <c r="R164" s="6">
        <v>4</v>
      </c>
      <c r="S164" s="6">
        <v>4</v>
      </c>
      <c r="T164" s="6" t="str">
        <v/>
      </c>
      <c r="U164" s="6" t="str">
        <v/>
      </c>
      <c r="V164" s="6" t="str">
        <v/>
      </c>
      <c r="W164" s="6" t="str">
        <v/>
      </c>
      <c r="X164" s="6" t="str">
        <v/>
      </c>
      <c r="Y164" t="s">
        <v>362</v>
      </c>
      <c r="Z164" t="s">
        <v>217</v>
      </c>
    </row>
    <row r="165" spans="1:26">
      <c r="A165" t="str">
        <v>165行</v>
      </c>
      <c r="B165" t="str">
        <f ca="1"/>
        <v/>
      </c>
      <c r="C165" t="str">
        <f ca="1"/>
        <v>- O526：作業箇所_2（現在の内容：""）</v>
      </c>
      <c r="H165" t="s">
        <v>365</v>
      </c>
      <c r="I165">
        <v>37</v>
      </c>
      <c r="J165" s="6" t="str">
        <v>応援･教育･その他</v>
      </c>
      <c r="K165" s="6" t="str">
        <v>応援･教育･その他</v>
      </c>
      <c r="L165" s="6" t="str">
        <v/>
      </c>
      <c r="M165" s="6" t="str">
        <v/>
      </c>
      <c r="N165" s="6" t="str">
        <v/>
      </c>
      <c r="O165" s="6">
        <v>7</v>
      </c>
      <c r="P165" s="6">
        <v>7</v>
      </c>
      <c r="Q165" s="6">
        <v>7</v>
      </c>
      <c r="R165" s="6">
        <v>7</v>
      </c>
      <c r="S165" s="6">
        <v>7</v>
      </c>
      <c r="T165" s="6" t="str">
        <v/>
      </c>
      <c r="U165" s="6" t="str">
        <v/>
      </c>
      <c r="V165" s="6" t="str">
        <v/>
      </c>
      <c r="W165" s="6" t="str">
        <v/>
      </c>
      <c r="X165" s="6" t="str">
        <v/>
      </c>
      <c r="Y165" t="s">
        <v>366</v>
      </c>
      <c r="Z165" t="s">
        <v>217</v>
      </c>
    </row>
    <row r="166" spans="1:26">
      <c r="A166" t="str">
        <v>166行</v>
      </c>
      <c r="B166" t="str">
        <f ca="1"/>
        <v/>
      </c>
      <c r="C166" t="str">
        <f ca="1"/>
        <v>- O527：作業箇所_3（現在の内容：""）</v>
      </c>
      <c r="H166" t="s">
        <v>369</v>
      </c>
      <c r="I166">
        <v>38</v>
      </c>
      <c r="J166" s="6" t="str">
        <v>応援･教育･その他</v>
      </c>
      <c r="K166" s="6" t="str">
        <v>応援･教育･その他</v>
      </c>
      <c r="L166" s="6" t="str">
        <v/>
      </c>
      <c r="M166" s="6" t="str">
        <v/>
      </c>
      <c r="N166" s="6" t="str">
        <v/>
      </c>
      <c r="O166" s="6">
        <v>7</v>
      </c>
      <c r="P166" s="6">
        <v>7</v>
      </c>
      <c r="Q166" s="6">
        <v>7</v>
      </c>
      <c r="R166" s="6">
        <v>7</v>
      </c>
      <c r="S166" s="6">
        <v>7</v>
      </c>
      <c r="T166" s="6" t="str">
        <v/>
      </c>
      <c r="U166" s="6" t="str">
        <v/>
      </c>
      <c r="V166" s="6" t="str">
        <v/>
      </c>
      <c r="W166" s="6" t="str">
        <v/>
      </c>
      <c r="X166" s="6" t="str">
        <v/>
      </c>
      <c r="Y166" t="s">
        <v>370</v>
      </c>
      <c r="Z166" t="s">
        <v>217</v>
      </c>
    </row>
    <row r="167" spans="1:26">
      <c r="A167" t="str">
        <v>167行</v>
      </c>
      <c r="B167" t="str">
        <f ca="1"/>
        <v/>
      </c>
      <c r="C167" t="str">
        <f ca="1"/>
        <v>- O528：作業箇所_4（現在の内容：""）</v>
      </c>
      <c r="H167" t="s">
        <v>373</v>
      </c>
      <c r="I167">
        <v>39</v>
      </c>
      <c r="J167" s="6" t="str">
        <v>応援･教育･その他</v>
      </c>
      <c r="K167" s="6" t="str">
        <v>応援･教育･その他</v>
      </c>
      <c r="L167" s="6" t="str">
        <v/>
      </c>
      <c r="M167" s="6" t="str">
        <v/>
      </c>
      <c r="N167" s="6" t="str">
        <v/>
      </c>
      <c r="O167" s="6">
        <v>7</v>
      </c>
      <c r="P167" s="6">
        <v>7</v>
      </c>
      <c r="Q167" s="6">
        <v>7</v>
      </c>
      <c r="R167" s="6">
        <v>7</v>
      </c>
      <c r="S167" s="6">
        <v>7</v>
      </c>
      <c r="T167" s="6" t="str">
        <v/>
      </c>
      <c r="U167" s="6" t="str">
        <v/>
      </c>
      <c r="V167" s="6" t="str">
        <v/>
      </c>
      <c r="W167" s="6" t="str">
        <v/>
      </c>
      <c r="X167" s="6" t="str">
        <v/>
      </c>
      <c r="Y167" t="s">
        <v>374</v>
      </c>
      <c r="Z167" t="s">
        <v>217</v>
      </c>
    </row>
    <row r="168" spans="1:26">
      <c r="A168" t="str">
        <v>168行</v>
      </c>
      <c r="B168" t="str">
        <f ca="1"/>
        <v/>
      </c>
      <c r="C168" t="str">
        <f ca="1"/>
        <v>- O529：作業箇所_5（現在の内容：""）</v>
      </c>
      <c r="I168">
        <v>40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Z168" t="s">
        <v>217</v>
      </c>
    </row>
    <row r="169" spans="1:26">
      <c r="A169" t="str">
        <v>169行</v>
      </c>
      <c r="B169" t="str">
        <f ca="1"/>
        <v/>
      </c>
      <c r="C169" t="str">
        <f ca="1"/>
        <v>- O530：作業箇所_6（現在の内容：""）</v>
      </c>
      <c r="I169">
        <v>41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Z169" t="s">
        <v>217</v>
      </c>
    </row>
    <row r="170" spans="1:26">
      <c r="A170" t="str">
        <v>170行</v>
      </c>
      <c r="B170" t="str">
        <f ca="1"/>
        <v/>
      </c>
      <c r="C170" t="str">
        <f ca="1"/>
        <v>- O531：作業箇所_7（現在の内容：""）</v>
      </c>
      <c r="I170">
        <v>42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Z170" t="s">
        <v>217</v>
      </c>
    </row>
    <row r="171" spans="1:26">
      <c r="A171" t="str">
        <v>171行</v>
      </c>
      <c r="B171" t="str">
        <f ca="1"/>
        <v/>
      </c>
      <c r="C171" t="str">
        <f ca="1"/>
        <v>- O532：作業箇所_8（現在の内容：""）</v>
      </c>
      <c r="I171">
        <v>43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Z171" t="s">
        <v>217</v>
      </c>
    </row>
    <row r="172" spans="1:26">
      <c r="A172" t="str">
        <v>172行</v>
      </c>
      <c r="B172" t="str">
        <f ca="1"/>
        <v/>
      </c>
      <c r="C172" t="str">
        <f ca="1"/>
        <v>- O533：作業箇所_9（現在の内容：""）</v>
      </c>
      <c r="I172">
        <v>44</v>
      </c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Z172" t="s">
        <v>217</v>
      </c>
    </row>
    <row r="173" spans="1:26">
      <c r="A173" t="str">
        <v>173行</v>
      </c>
      <c r="B173" t="str">
        <f ca="1"/>
        <v/>
      </c>
      <c r="C173" t="str">
        <f ca="1"/>
        <v>- O534：作業箇所_10（現在の内容：""）</v>
      </c>
      <c r="I173">
        <v>45</v>
      </c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Z173" t="s">
        <v>217</v>
      </c>
    </row>
    <row r="174" spans="1:26">
      <c r="A174" t="str">
        <v>174行</v>
      </c>
      <c r="B174" t="str">
        <f ca="1"/>
        <v/>
      </c>
      <c r="C174" t="str">
        <f ca="1"/>
        <v>- O535：作業箇所_11（現在の内容：""）</v>
      </c>
      <c r="I174">
        <v>46</v>
      </c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Z174" t="s">
        <v>217</v>
      </c>
    </row>
    <row r="175" spans="1:26">
      <c r="A175" t="str">
        <v>175行</v>
      </c>
      <c r="B175" t="str">
        <f ca="1"/>
        <v/>
      </c>
      <c r="C175" t="str">
        <f ca="1"/>
        <v>- O536：作業箇所_12（現在の内容：""）</v>
      </c>
      <c r="I175">
        <v>47</v>
      </c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Z175" t="s">
        <v>217</v>
      </c>
    </row>
    <row r="176" spans="1:26">
      <c r="A176" t="str">
        <v>176行</v>
      </c>
      <c r="B176" t="str">
        <f ca="1"/>
        <v/>
      </c>
      <c r="C176" t="str">
        <f ca="1"/>
        <v>- O537：作業箇所_13（現在の内容：""）</v>
      </c>
      <c r="I176">
        <v>48</v>
      </c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Z176" t="s">
        <v>217</v>
      </c>
    </row>
    <row r="177" spans="1:26">
      <c r="A177" t="str">
        <v>177行</v>
      </c>
      <c r="B177" t="str">
        <f ca="1"/>
        <v/>
      </c>
      <c r="C177" t="str">
        <f ca="1"/>
        <v>- O538：作業箇所_14（現在の内容：""）</v>
      </c>
      <c r="I177">
        <v>49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Z177" t="s">
        <v>217</v>
      </c>
    </row>
    <row r="178" spans="1:26">
      <c r="A178" t="str">
        <v>178行</v>
      </c>
      <c r="B178" t="str">
        <f ca="1"/>
        <v/>
      </c>
      <c r="C178" t="str">
        <f ca="1"/>
        <v>- O539：作業箇所_15（現在の内容：""）</v>
      </c>
      <c r="I178">
        <v>50</v>
      </c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Z178" t="s">
        <v>217</v>
      </c>
    </row>
    <row r="179" spans="1:26">
      <c r="A179" t="str">
        <v>179行</v>
      </c>
      <c r="B179" t="str">
        <f ca="1"/>
        <v/>
      </c>
      <c r="C179" t="str">
        <f ca="1"/>
        <v>- O540：作業箇所_16（現在の内容：""）</v>
      </c>
      <c r="I179">
        <v>51</v>
      </c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Z179" t="s">
        <v>217</v>
      </c>
    </row>
    <row r="180" spans="1:26">
      <c r="A180" t="str">
        <v>180行</v>
      </c>
      <c r="B180" t="str">
        <f ca="1"/>
        <v/>
      </c>
      <c r="C180" t="str">
        <f ca="1"/>
        <v>- O541：作業箇所_17（現在の内容：""）</v>
      </c>
      <c r="I180">
        <v>52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Z180" t="s">
        <v>217</v>
      </c>
    </row>
    <row r="181" spans="1:26">
      <c r="A181" t="str">
        <v>181行</v>
      </c>
      <c r="B181" t="str">
        <f ca="1"/>
        <v/>
      </c>
      <c r="C181" t="str">
        <f ca="1"/>
        <v>- O542：作業箇所_18（現在の内容：""）</v>
      </c>
      <c r="I181">
        <v>53</v>
      </c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Z181" t="s">
        <v>217</v>
      </c>
    </row>
    <row r="182" spans="1:26">
      <c r="A182" t="str">
        <v>182行</v>
      </c>
      <c r="B182" t="str">
        <f ca="1"/>
        <v/>
      </c>
      <c r="C182" t="str">
        <f ca="1"/>
        <v>- O543：作業箇所_19（現在の内容：""）</v>
      </c>
      <c r="I182">
        <v>54</v>
      </c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Z182" t="s">
        <v>217</v>
      </c>
    </row>
    <row r="183" spans="1:26">
      <c r="A183" t="str">
        <v>183行</v>
      </c>
      <c r="B183" t="str">
        <f ca="1"/>
        <v/>
      </c>
      <c r="C183" t="str">
        <f ca="1"/>
        <v>- O544：作業箇所_20（現在の内容：""）</v>
      </c>
      <c r="I183">
        <v>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Z183" t="s">
        <v>217</v>
      </c>
    </row>
    <row r="184" spans="1:26">
      <c r="A184" t="str">
        <v>184行</v>
      </c>
      <c r="B184" t="str">
        <f ca="1"/>
        <v/>
      </c>
      <c r="C184" t="str">
        <f ca="1"/>
        <v>- O557：工程表Excelファイル_1（現在の内容：2025.04 月間予定表.xlsx）</v>
      </c>
      <c r="I184">
        <v>56</v>
      </c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Z184" t="s">
        <v>217</v>
      </c>
    </row>
    <row r="185" spans="1:26">
      <c r="A185" t="str">
        <v>185行</v>
      </c>
      <c r="B185" t="str">
        <f ca="1"/>
        <v/>
      </c>
      <c r="C185" t="str">
        <f ca="1"/>
        <v>- O558：工程表Excelファイル_2（現在の内容：""）</v>
      </c>
      <c r="I185">
        <v>57</v>
      </c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Z185" t="s">
        <v>217</v>
      </c>
    </row>
    <row r="186" spans="1:26">
      <c r="A186" t="str">
        <v>186行</v>
      </c>
      <c r="B186" t="str">
        <f ca="1"/>
        <v/>
      </c>
      <c r="C186" t="str">
        <f ca="1"/>
        <v>- O559：工程表Excelファイル_3（現在の内容：""）</v>
      </c>
      <c r="I186">
        <v>58</v>
      </c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Z186" t="s">
        <v>217</v>
      </c>
    </row>
    <row r="187" spans="1:26">
      <c r="A187" t="str">
        <v>187行</v>
      </c>
      <c r="B187" t="str">
        <f ca="1"/>
        <v/>
      </c>
      <c r="C187" t="str">
        <f ca="1"/>
        <v>- O560：工程表Excelファイル_4（現在の内容：""）</v>
      </c>
      <c r="I187">
        <v>59</v>
      </c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Z187" t="s">
        <v>217</v>
      </c>
    </row>
    <row r="188" spans="1:26">
      <c r="A188" t="str">
        <v>188行</v>
      </c>
      <c r="B188" t="str">
        <f ca="1"/>
        <v/>
      </c>
      <c r="C188" t="str">
        <f ca="1"/>
        <v>- O561：工程表Excelファイル_5（現在の内容：""）</v>
      </c>
      <c r="I188">
        <v>60</v>
      </c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Z188" t="s">
        <v>217</v>
      </c>
    </row>
    <row r="189" spans="1:26">
      <c r="A189" t="str">
        <v>189行</v>
      </c>
      <c r="B189" t="str">
        <f ca="1"/>
        <v/>
      </c>
      <c r="C189" t="str">
        <f ca="1"/>
        <v>- O562：工程表Excelファイル_6（現在の内容：""）</v>
      </c>
      <c r="I189">
        <v>61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Z189" t="s">
        <v>217</v>
      </c>
    </row>
    <row r="190" spans="1:26">
      <c r="A190" t="str">
        <v>190行</v>
      </c>
      <c r="B190" t="str">
        <f ca="1"/>
        <v/>
      </c>
      <c r="C190" t="str">
        <f ca="1"/>
        <v>- O563：工程表Excelファイル_7（現在の内容：""）</v>
      </c>
      <c r="I190">
        <v>62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Z190" t="s">
        <v>217</v>
      </c>
    </row>
    <row r="191" spans="1:26">
      <c r="A191" t="str">
        <v>191行</v>
      </c>
      <c r="B191" t="str">
        <f ca="1"/>
        <v/>
      </c>
      <c r="C191" t="str">
        <f ca="1"/>
        <v>- O564：工程表Excelファイル_8（現在の内容：""）</v>
      </c>
      <c r="I191">
        <v>63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Z191" t="s">
        <v>217</v>
      </c>
    </row>
    <row r="192" spans="1:26">
      <c r="A192" t="str">
        <v>192行</v>
      </c>
      <c r="B192" t="str">
        <f ca="1"/>
        <v/>
      </c>
      <c r="C192" t="str">
        <f ca="1"/>
        <v>- O565：工程表Excelファイル_9（現在の内容：""）</v>
      </c>
      <c r="I192">
        <v>64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Z192" t="s">
        <v>217</v>
      </c>
    </row>
    <row r="193" spans="1:26">
      <c r="A193" t="str">
        <v>193行</v>
      </c>
      <c r="B193" t="str">
        <f ca="1"/>
        <v/>
      </c>
      <c r="C193" t="str">
        <f ca="1"/>
        <v>- O566：工程表Excelファイル_10（現在の内容：""）</v>
      </c>
      <c r="I193">
        <v>65</v>
      </c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Z193" t="s">
        <v>217</v>
      </c>
    </row>
    <row r="194" spans="1:26">
      <c r="A194" t="str">
        <v>194行</v>
      </c>
      <c r="B194" t="str">
        <f ca="1"/>
        <v/>
      </c>
      <c r="C194" t="str">
        <f ca="1"/>
        <v>- O567：工程表Excelファイル_11（現在の内容：""）</v>
      </c>
      <c r="I194">
        <v>66</v>
      </c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Z194" t="s">
        <v>217</v>
      </c>
    </row>
    <row r="195" spans="1:26">
      <c r="A195" t="str">
        <v>195行</v>
      </c>
      <c r="B195" t="str">
        <f ca="1"/>
        <v/>
      </c>
      <c r="C195" t="str">
        <f ca="1"/>
        <v>- O568：工程表Excelファイル_12（現在の内容：""）</v>
      </c>
      <c r="I195">
        <v>67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Z195" t="s">
        <v>217</v>
      </c>
    </row>
    <row r="196" spans="1:26">
      <c r="A196" t="str">
        <v>196行</v>
      </c>
      <c r="B196" t="str">
        <f ca="1"/>
        <v/>
      </c>
      <c r="C196" t="str">
        <f ca="1"/>
        <v>- O569：工程表Excelファイル_13（現在の内容：""）</v>
      </c>
      <c r="I196">
        <v>68</v>
      </c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Z196" t="s">
        <v>217</v>
      </c>
    </row>
    <row r="197" spans="1:26">
      <c r="A197" t="str">
        <v>197行</v>
      </c>
      <c r="B197" t="str">
        <f ca="1"/>
        <v/>
      </c>
      <c r="C197" t="str">
        <f ca="1"/>
        <v>- O570：工程表Excelファイル_14（現在の内容：""）</v>
      </c>
      <c r="I197">
        <v>69</v>
      </c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Z197" t="s">
        <v>217</v>
      </c>
    </row>
    <row r="198" spans="1:26">
      <c r="A198" t="str">
        <v>198行</v>
      </c>
      <c r="B198" t="str">
        <f ca="1"/>
        <v/>
      </c>
      <c r="C198" t="str">
        <f ca="1"/>
        <v>- O571：工程表Excelファイル_15（現在の内容：""）</v>
      </c>
      <c r="I198">
        <v>70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Z198" t="s">
        <v>217</v>
      </c>
    </row>
    <row r="199" spans="1:26">
      <c r="A199" t="str">
        <v>199行</v>
      </c>
      <c r="B199" t="str">
        <f ca="1"/>
        <v/>
      </c>
      <c r="C199" t="str">
        <f ca="1"/>
        <v>- O572：工程表Excelファイル_16（現在の内容：""）</v>
      </c>
      <c r="I199">
        <v>71</v>
      </c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Z199" t="s">
        <v>217</v>
      </c>
    </row>
    <row r="200" spans="1:26">
      <c r="A200" t="str">
        <v>200行</v>
      </c>
      <c r="B200" t="str">
        <f ca="1"/>
        <v/>
      </c>
      <c r="C200" t="str">
        <f ca="1"/>
        <v>- O573：工程表Excelファイル_17（現在の内容：""）</v>
      </c>
      <c r="I200">
        <v>72</v>
      </c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Z200" t="s">
        <v>217</v>
      </c>
    </row>
    <row r="201" spans="1:26">
      <c r="A201" t="str">
        <v>201行</v>
      </c>
      <c r="B201" t="str">
        <f ca="1"/>
        <v/>
      </c>
      <c r="C201" t="str">
        <f ca="1"/>
        <v>- O574：工程表Excelファイル_18（現在の内容：""）</v>
      </c>
      <c r="I201">
        <v>73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Z201" t="s">
        <v>217</v>
      </c>
    </row>
    <row r="202" spans="1:26">
      <c r="A202" t="str">
        <v>202行</v>
      </c>
      <c r="B202" t="str">
        <f ca="1"/>
        <v/>
      </c>
      <c r="C202" t="str">
        <f ca="1"/>
        <v>- O575：工程表Excelファイル_19（現在の内容：""）</v>
      </c>
      <c r="I202">
        <v>74</v>
      </c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Z202" t="s">
        <v>217</v>
      </c>
    </row>
    <row r="203" spans="1:26">
      <c r="A203" t="str">
        <v>203行</v>
      </c>
      <c r="B203" t="str">
        <f ca="1"/>
        <v/>
      </c>
      <c r="C203" t="str">
        <f ca="1"/>
        <v>- O576：工程表Excelファイル_20（現在の内容：""）</v>
      </c>
      <c r="I203">
        <v>75</v>
      </c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Z203" t="s">
        <v>217</v>
      </c>
    </row>
    <row r="204" spans="1:26">
      <c r="A204" t="str">
        <v>204行</v>
      </c>
      <c r="B204" t="str">
        <f ca="1"/>
        <v/>
      </c>
      <c r="C204" t="str">
        <f ca="1"/>
        <v>- O577：工程表Excelファイル_21（現在の内容：""）</v>
      </c>
      <c r="I204">
        <v>76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Z204" t="s">
        <v>217</v>
      </c>
    </row>
    <row r="205" spans="1:26">
      <c r="A205" t="str">
        <v>205行</v>
      </c>
      <c r="B205" t="str">
        <f ca="1"/>
        <v/>
      </c>
      <c r="C205" t="str">
        <f ca="1"/>
        <v>- O578：工程表Excelファイル_22（現在の内容：""）</v>
      </c>
      <c r="I205">
        <v>77</v>
      </c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Z205" t="s">
        <v>217</v>
      </c>
    </row>
    <row r="206" spans="1:26">
      <c r="A206" t="str">
        <v>206行</v>
      </c>
      <c r="B206" t="str">
        <f ca="1"/>
        <v/>
      </c>
      <c r="C206" t="str">
        <f ca="1"/>
        <v>- O579：工程表Excelファイル_23（現在の内容：""）</v>
      </c>
      <c r="I206">
        <v>78</v>
      </c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Z206" t="s">
        <v>217</v>
      </c>
    </row>
    <row r="207" spans="1:26">
      <c r="A207" t="str">
        <v>207行</v>
      </c>
      <c r="B207" t="str">
        <f ca="1"/>
        <v/>
      </c>
      <c r="C207" t="str">
        <f ca="1"/>
        <v>- O580：工程表Excelファイル_24（現在の内容：""）</v>
      </c>
      <c r="I207">
        <v>79</v>
      </c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Z207" t="s">
        <v>217</v>
      </c>
    </row>
    <row r="208" spans="1:26">
      <c r="A208" t="str">
        <v>208行</v>
      </c>
      <c r="B208" t="str">
        <f ca="1"/>
        <v/>
      </c>
      <c r="C208" t="str">
        <f ca="1"/>
        <v>- O581：工程表Excelファイル_25（現在の内容：""）</v>
      </c>
      <c r="I208">
        <v>80</v>
      </c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Z208" t="s">
        <v>217</v>
      </c>
    </row>
    <row r="209" spans="1:26">
      <c r="A209" t="str">
        <v>209行</v>
      </c>
      <c r="B209" t="str">
        <f ca="1"/>
        <v/>
      </c>
      <c r="C209" t="str">
        <f ca="1"/>
        <v>- O582：工程表Excelファイル_26（現在の内容：""）</v>
      </c>
      <c r="I209">
        <v>81</v>
      </c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Z209" t="s">
        <v>217</v>
      </c>
    </row>
    <row r="210" spans="1:26">
      <c r="A210" t="str">
        <v>210行</v>
      </c>
      <c r="B210" t="str">
        <f ca="1"/>
        <v/>
      </c>
      <c r="C210" t="str">
        <f ca="1"/>
        <v>- O583：工程表Excelファイル_27（現在の内容：""）</v>
      </c>
      <c r="I210">
        <v>82</v>
      </c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Z210" t="s">
        <v>217</v>
      </c>
    </row>
    <row r="211" spans="1:26">
      <c r="A211" t="str">
        <v>211行</v>
      </c>
      <c r="B211" t="str">
        <f ca="1"/>
        <v/>
      </c>
      <c r="C211" t="str">
        <f ca="1"/>
        <v>- O584：工程表Excelファイル_28（現在の内容：""）</v>
      </c>
      <c r="I211">
        <v>83</v>
      </c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Z211" t="s">
        <v>217</v>
      </c>
    </row>
    <row r="212" spans="1:26">
      <c r="A212" t="str">
        <v>212行</v>
      </c>
      <c r="B212" t="str">
        <f ca="1"/>
        <v/>
      </c>
      <c r="C212" t="str">
        <f ca="1"/>
        <v>- O585：工程表Excelファイル_29（現在の内容：""）</v>
      </c>
      <c r="I212">
        <v>84</v>
      </c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Z212" t="s">
        <v>217</v>
      </c>
    </row>
    <row r="213" spans="1:26">
      <c r="A213" t="str">
        <v>213行</v>
      </c>
      <c r="B213" t="str">
        <f ca="1"/>
        <v/>
      </c>
      <c r="C213" t="str">
        <f ca="1"/>
        <v>- O586：工程表Excelファイル_30（現在の内容：""）</v>
      </c>
      <c r="I213">
        <v>85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Z213" t="s">
        <v>217</v>
      </c>
    </row>
    <row r="214" spans="1:26">
      <c r="A214" t="str">
        <v>214行</v>
      </c>
      <c r="B214" t="str">
        <f ca="1"/>
        <v/>
      </c>
      <c r="C214" t="str">
        <f ca="1"/>
        <v>- O587：工程表Excelファイル_31（現在の内容：""）</v>
      </c>
      <c r="I214">
        <v>86</v>
      </c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Z214" t="s">
        <v>217</v>
      </c>
    </row>
    <row r="215" spans="1:26">
      <c r="A215" t="str">
        <v>215行</v>
      </c>
      <c r="B215" t="str">
        <f ca="1"/>
        <v/>
      </c>
      <c r="C215" t="str">
        <f ca="1"/>
        <v>- O588：工程表Excelファイル_32（現在の内容：""）</v>
      </c>
      <c r="I215">
        <v>87</v>
      </c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Z215" t="s">
        <v>217</v>
      </c>
    </row>
    <row r="216" spans="1:26">
      <c r="A216" t="str">
        <v>216行</v>
      </c>
      <c r="B216" t="str">
        <f ca="1"/>
        <v/>
      </c>
      <c r="C216" t="str">
        <f ca="1"/>
        <v>- O589：工程表Excelファイル_33（現在の内容：""）</v>
      </c>
      <c r="I216">
        <v>88</v>
      </c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Z216" t="s">
        <v>217</v>
      </c>
    </row>
    <row r="217" spans="1:26">
      <c r="A217" t="str">
        <v>217行</v>
      </c>
      <c r="B217" t="str">
        <f ca="1"/>
        <v/>
      </c>
      <c r="C217" t="str">
        <f ca="1"/>
        <v>- O590：工程表Excelファイル_34（現在の内容：""）</v>
      </c>
      <c r="I217">
        <v>89</v>
      </c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Z217" t="s">
        <v>217</v>
      </c>
    </row>
    <row r="218" spans="1:26">
      <c r="A218" t="str">
        <v>218行</v>
      </c>
      <c r="B218" t="str">
        <f ca="1"/>
        <v/>
      </c>
      <c r="C218" t="str">
        <f ca="1"/>
        <v>- O591：工程表Excelファイル_35（現在の内容：""）</v>
      </c>
      <c r="I218">
        <v>90</v>
      </c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Z218" t="s">
        <v>217</v>
      </c>
    </row>
    <row r="219" spans="1:26">
      <c r="A219" t="str">
        <v>219行</v>
      </c>
      <c r="B219" t="str">
        <f ca="1"/>
        <v/>
      </c>
      <c r="C219" t="str">
        <f ca="1"/>
        <v>- O592：工程表Excelファイル_36（現在の内容：""）</v>
      </c>
      <c r="I219">
        <v>91</v>
      </c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Z219" t="s">
        <v>217</v>
      </c>
    </row>
    <row r="220" spans="1:26">
      <c r="A220" t="str">
        <v>220行</v>
      </c>
      <c r="B220" t="str">
        <f ca="1"/>
        <v/>
      </c>
      <c r="C220" t="str">
        <f ca="1"/>
        <v>- O593：工程表Excelファイル_37（現在の内容：""）</v>
      </c>
      <c r="I220">
        <v>92</v>
      </c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Z220" t="s">
        <v>217</v>
      </c>
    </row>
    <row r="221" spans="1:26">
      <c r="A221" t="str">
        <v>221行</v>
      </c>
      <c r="B221" t="str">
        <f ca="1"/>
        <v/>
      </c>
      <c r="C221" t="str">
        <f ca="1"/>
        <v>- O594：工程表Excelファイル_38（現在の内容：""）</v>
      </c>
      <c r="I221">
        <v>93</v>
      </c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Z221" t="s">
        <v>217</v>
      </c>
    </row>
    <row r="222" spans="1:26">
      <c r="A222" t="str">
        <v>222行</v>
      </c>
      <c r="B222" t="str">
        <f ca="1"/>
        <v/>
      </c>
      <c r="C222" t="str">
        <f ca="1"/>
        <v>- O595：工程表Excelファイル_39（現在の内容：""）</v>
      </c>
      <c r="I222">
        <v>94</v>
      </c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Z222" t="s">
        <v>217</v>
      </c>
    </row>
    <row r="223" spans="1:26">
      <c r="A223" t="str">
        <v>223行</v>
      </c>
      <c r="B223" t="str">
        <f ca="1"/>
        <v/>
      </c>
      <c r="C223" t="str">
        <f ca="1"/>
        <v>- O596：工程表Excelファイル_40（現在の内容：""）</v>
      </c>
      <c r="I223">
        <v>95</v>
      </c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Z223" t="s">
        <v>217</v>
      </c>
    </row>
    <row r="224" spans="1:26">
      <c r="A224" t="str">
        <v>224行</v>
      </c>
      <c r="B224" t="str">
        <f ca="1"/>
        <v/>
      </c>
      <c r="C224" t="str">
        <f ca="1"/>
        <v>- O597：工程表Excelファイル_41（現在の内容：""）</v>
      </c>
      <c r="I224">
        <v>96</v>
      </c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Z224" t="s">
        <v>217</v>
      </c>
    </row>
    <row r="225" spans="1:26">
      <c r="A225" t="str">
        <v>225行</v>
      </c>
      <c r="B225" t="str">
        <f ca="1"/>
        <v/>
      </c>
      <c r="C225" t="str">
        <f ca="1"/>
        <v>- O598：工程表Excelファイル_42（現在の内容：""）</v>
      </c>
      <c r="I225">
        <v>97</v>
      </c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Z225" t="s">
        <v>217</v>
      </c>
    </row>
    <row r="226" spans="1:26">
      <c r="A226" t="str">
        <v>226行</v>
      </c>
      <c r="B226" t="str">
        <f ca="1"/>
        <v/>
      </c>
      <c r="C226" t="str">
        <f ca="1"/>
        <v>- O599：工程表Excelファイル_43（現在の内容：""）</v>
      </c>
      <c r="I226">
        <v>98</v>
      </c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Z226" t="s">
        <v>217</v>
      </c>
    </row>
    <row r="227" spans="1:26">
      <c r="A227" t="str">
        <v>227行</v>
      </c>
      <c r="B227" t="str">
        <f ca="1"/>
        <v/>
      </c>
      <c r="C227" t="str">
        <f ca="1"/>
        <v>- O600：工程表Excelファイル_44（現在の内容：""）</v>
      </c>
      <c r="I227">
        <v>99</v>
      </c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Z227" t="s">
        <v>217</v>
      </c>
    </row>
    <row r="228" spans="1:26">
      <c r="A228" t="str">
        <v>228行</v>
      </c>
      <c r="B228" t="str">
        <f ca="1"/>
        <v/>
      </c>
      <c r="C228" t="str">
        <f ca="1"/>
        <v>- O601：工程表Excelファイル_45（現在の内容：""）</v>
      </c>
      <c r="I228">
        <v>100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Z228" t="s">
        <v>217</v>
      </c>
    </row>
    <row r="229" spans="1:26">
      <c r="A229" t="str">
        <v>229行</v>
      </c>
      <c r="B229" t="str">
        <f ca="1"/>
        <v/>
      </c>
      <c r="C229" t="str">
        <f ca="1"/>
        <v>- O602：工程表Excelファイル_46（現在の内容：""）</v>
      </c>
    </row>
    <row r="230" spans="1:26">
      <c r="A230" t="str">
        <v>230行</v>
      </c>
      <c r="B230" t="str">
        <f ca="1"/>
        <v/>
      </c>
      <c r="C230" t="str">
        <f ca="1"/>
        <v>- O603：工程表Excelファイル_47（現在の内容：""）</v>
      </c>
    </row>
    <row r="231" spans="1:26">
      <c r="A231" t="str">
        <v>231行</v>
      </c>
      <c r="B231" t="str">
        <f ca="1"/>
        <v/>
      </c>
      <c r="C231" t="str">
        <f ca="1"/>
        <v>- O604：工程表Excelファイル_48（現在の内容：""）</v>
      </c>
    </row>
    <row r="232" spans="1:26">
      <c r="A232" t="str">
        <v>232行</v>
      </c>
      <c r="B232" t="str">
        <f ca="1"/>
        <v/>
      </c>
      <c r="C232" t="str">
        <f ca="1"/>
        <v>- O605：工程表Excelファイル_49（現在の内容：""）</v>
      </c>
    </row>
    <row r="233" spans="1:26">
      <c r="A233" t="str">
        <v>233行</v>
      </c>
      <c r="B233" t="str">
        <f ca="1"/>
        <v/>
      </c>
      <c r="C233" t="str">
        <f ca="1"/>
        <v>- O606：工程表Excelファイル_50（現在の内容：""）</v>
      </c>
    </row>
    <row r="234" spans="1:26">
      <c r="A234" t="str">
        <v>234行</v>
      </c>
      <c r="B234" t="str">
        <f ca="1"/>
        <v/>
      </c>
      <c r="C234" t="str">
        <f ca="1"/>
        <v>- O607：工程表Excelファイル_51（現在の内容：""）</v>
      </c>
    </row>
    <row r="235" spans="1:26">
      <c r="A235" t="str">
        <v>235行</v>
      </c>
      <c r="B235" t="str">
        <f ca="1"/>
        <v/>
      </c>
      <c r="C235" t="str">
        <f ca="1"/>
        <v>- O608：工程表Excelファイル_52（現在の内容：""）</v>
      </c>
    </row>
    <row r="236" spans="1:26">
      <c r="A236" t="str">
        <v>236行</v>
      </c>
      <c r="B236" t="str">
        <f ca="1"/>
        <v/>
      </c>
      <c r="C236" t="str">
        <f ca="1"/>
        <v>- O609：工程表Excelファイル_53（現在の内容：""）</v>
      </c>
    </row>
    <row r="237" spans="1:26">
      <c r="A237" t="str">
        <v>237行</v>
      </c>
      <c r="B237" t="str">
        <f ca="1"/>
        <v/>
      </c>
      <c r="C237" t="str">
        <f ca="1"/>
        <v>- O610：工程表Excelファイル_54（現在の内容：""）</v>
      </c>
    </row>
    <row r="238" spans="1:26">
      <c r="A238" t="str">
        <v>238行</v>
      </c>
      <c r="B238" t="str">
        <f ca="1"/>
        <v/>
      </c>
      <c r="C238" t="str">
        <f ca="1"/>
        <v>- O611：工程表Excelファイル_55（現在の内容：""）</v>
      </c>
    </row>
    <row r="239" spans="1:26">
      <c r="A239" t="str">
        <v>239行</v>
      </c>
      <c r="B239" t="str">
        <f ca="1"/>
        <v/>
      </c>
      <c r="C239" t="str">
        <f ca="1"/>
        <v>- O612：工程表Excelファイル_56（現在の内容：""）</v>
      </c>
    </row>
    <row r="240" spans="1:26" s="9" customFormat="1" ht="19.5" thickBot="1">
      <c r="A240" s="9" t="str">
        <v>240行</v>
      </c>
      <c r="B240" t="str">
        <f ca="1"/>
        <v/>
      </c>
      <c r="C240" s="9" t="str">
        <f ca="1"/>
        <v>- O613：工程表Excelファイル_57（現在の内容：""）</v>
      </c>
    </row>
    <row r="241" spans="1:28" ht="19.5" thickTop="1">
      <c r="A241" t="str">
        <v>241行</v>
      </c>
      <c r="B241" t="str">
        <f ca="1"/>
        <v/>
      </c>
      <c r="C241" t="str">
        <f ca="1"/>
        <v>- O614：工程表Excelファイル_58（現在の内容：""）</v>
      </c>
    </row>
    <row r="242" spans="1:28">
      <c r="A242" t="str">
        <v>242行</v>
      </c>
      <c r="B242" t="str">
        <f ca="1"/>
        <v>- O242：作業員_検索方法（現在の内容：""）</v>
      </c>
      <c r="C242" t="str">
        <f ca="1"/>
        <v>- O615：工程表Excelファイル_59（現在の内容：""）</v>
      </c>
      <c r="L242" t="s">
        <v>624</v>
      </c>
      <c r="M242" t="s">
        <v>113</v>
      </c>
      <c r="N242" t="s">
        <v>625</v>
      </c>
      <c r="O242" s="6"/>
      <c r="P242" t="s">
        <v>626</v>
      </c>
      <c r="R242" t="s">
        <v>627</v>
      </c>
      <c r="X242" s="12" t="s">
        <v>628</v>
      </c>
      <c r="Y242" s="13" t="s">
        <v>629</v>
      </c>
      <c r="Z242" s="13"/>
      <c r="AA242" s="13"/>
      <c r="AB242" s="14"/>
    </row>
    <row r="243" spans="1:28">
      <c r="A243" t="str">
        <v>243行</v>
      </c>
      <c r="B243" t="str">
        <f ca="1"/>
        <v>- O243：作業員_1（現在の内容：""）</v>
      </c>
      <c r="C243" t="str">
        <f ca="1"/>
        <v>- O616：工程表Excelファイル_60（現在の内容：""）</v>
      </c>
      <c r="N243" t="s">
        <v>630</v>
      </c>
      <c r="O243" s="6"/>
      <c r="P243" t="s">
        <v>631</v>
      </c>
      <c r="Q243" t="s">
        <v>632</v>
      </c>
    </row>
    <row r="244" spans="1:28">
      <c r="A244" t="str">
        <v>244行</v>
      </c>
      <c r="B244" t="str">
        <f ca="1"/>
        <v>- O244：作業員_2（現在の内容：""）</v>
      </c>
      <c r="C244" t="str">
        <f ca="1"/>
        <v>- O617：工程表Excelファイル_61（現在の内容：""）</v>
      </c>
      <c r="N244" t="s">
        <v>633</v>
      </c>
      <c r="O244" s="6"/>
      <c r="Q244" t="s">
        <v>632</v>
      </c>
    </row>
    <row r="245" spans="1:28">
      <c r="A245" t="str">
        <v>245行</v>
      </c>
      <c r="B245" t="str">
        <f ca="1"/>
        <v>- O245：作業員_3（現在の内容：""）</v>
      </c>
      <c r="C245" t="str">
        <f ca="1"/>
        <v>- O618：工程表Excelファイル_62（現在の内容：""）</v>
      </c>
      <c r="N245" t="s">
        <v>634</v>
      </c>
      <c r="O245" s="6"/>
      <c r="Q245" t="s">
        <v>632</v>
      </c>
    </row>
    <row r="246" spans="1:28">
      <c r="A246" t="str">
        <v>246行</v>
      </c>
      <c r="B246" t="str">
        <f ca="1"/>
        <v>- O246：作業員_4（現在の内容：""）</v>
      </c>
      <c r="C246" t="str">
        <f ca="1"/>
        <v>- O619：工程表Excelファイル_63（現在の内容：""）</v>
      </c>
      <c r="N246" t="s">
        <v>635</v>
      </c>
      <c r="O246" s="6"/>
      <c r="Q246" t="s">
        <v>632</v>
      </c>
    </row>
    <row r="247" spans="1:28">
      <c r="A247" t="str">
        <v>247行</v>
      </c>
      <c r="B247" t="str">
        <f ca="1"/>
        <v>- O247：作業員_5（現在の内容：""）</v>
      </c>
      <c r="C247" t="str">
        <f ca="1"/>
        <v>- O620：工程表Excelファイル_64（現在の内容：""）</v>
      </c>
      <c r="N247" t="s">
        <v>636</v>
      </c>
      <c r="O247" s="6"/>
      <c r="Q247" t="s">
        <v>632</v>
      </c>
    </row>
    <row r="248" spans="1:28">
      <c r="A248" t="str">
        <v>248行</v>
      </c>
      <c r="B248" t="str">
        <f ca="1"/>
        <v>- O248：作業員_6（現在の内容：""）</v>
      </c>
      <c r="C248" t="str">
        <f ca="1"/>
        <v>- O621：工程表Excelファイル_65（現在の内容：""）</v>
      </c>
      <c r="N248" t="s">
        <v>637</v>
      </c>
      <c r="O248" s="6"/>
      <c r="Q248" t="s">
        <v>632</v>
      </c>
    </row>
    <row r="249" spans="1:28">
      <c r="A249" t="str">
        <v>249行</v>
      </c>
      <c r="B249" t="str">
        <f ca="1"/>
        <v>- O249：作業員_7（現在の内容：""）</v>
      </c>
      <c r="C249" t="str">
        <f ca="1"/>
        <v>- O622：工程表Excelファイル_66（現在の内容：""）</v>
      </c>
      <c r="N249" t="s">
        <v>638</v>
      </c>
      <c r="O249" s="6"/>
      <c r="Q249" t="s">
        <v>632</v>
      </c>
    </row>
    <row r="250" spans="1:28">
      <c r="A250" t="str">
        <v>250行</v>
      </c>
      <c r="B250" t="str">
        <f ca="1"/>
        <v>- O250：作業員_8（現在の内容：""）</v>
      </c>
      <c r="C250" t="str">
        <f ca="1"/>
        <v>- O623：工程表Excelファイル_67（現在の内容：""）</v>
      </c>
      <c r="N250" t="s">
        <v>639</v>
      </c>
      <c r="O250" s="6"/>
      <c r="Q250" t="s">
        <v>632</v>
      </c>
    </row>
    <row r="251" spans="1:28">
      <c r="A251" t="str">
        <v>251行</v>
      </c>
      <c r="B251" t="str">
        <f ca="1"/>
        <v>- O251：作業員_9（現在の内容：""）</v>
      </c>
      <c r="C251" t="str">
        <f ca="1"/>
        <v>- O624：工程表Excelファイル_68（現在の内容：""）</v>
      </c>
      <c r="N251" t="s">
        <v>640</v>
      </c>
      <c r="O251" s="6"/>
      <c r="Q251" t="s">
        <v>632</v>
      </c>
    </row>
    <row r="252" spans="1:28">
      <c r="A252" t="str">
        <v>252行</v>
      </c>
      <c r="B252" t="str">
        <f ca="1"/>
        <v>- O252：作業員_10（現在の内容：""）</v>
      </c>
      <c r="C252" t="str">
        <f ca="1"/>
        <v>- O625：工程表Excelファイル_69（現在の内容：""）</v>
      </c>
      <c r="N252" t="s">
        <v>641</v>
      </c>
      <c r="O252" s="6"/>
      <c r="Q252" t="s">
        <v>632</v>
      </c>
    </row>
    <row r="253" spans="1:28">
      <c r="A253" t="str">
        <v>253行</v>
      </c>
      <c r="B253" t="str">
        <f ca="1"/>
        <v>- O253：作業員_11（現在の内容：""）</v>
      </c>
      <c r="C253" t="str">
        <f ca="1"/>
        <v>- O626：工程表Excelファイル_70（現在の内容：""）</v>
      </c>
      <c r="N253" t="s">
        <v>642</v>
      </c>
      <c r="O253" s="6"/>
      <c r="Q253" t="s">
        <v>632</v>
      </c>
    </row>
    <row r="254" spans="1:28">
      <c r="A254" t="str">
        <v>254行</v>
      </c>
      <c r="B254" t="str">
        <f ca="1"/>
        <v>- O254：作業員_12（現在の内容：""）</v>
      </c>
      <c r="C254" t="str">
        <f ca="1"/>
        <v>- O627：工程表Excelファイル_71（現在の内容：""）</v>
      </c>
      <c r="N254" t="s">
        <v>643</v>
      </c>
      <c r="O254" s="6"/>
      <c r="Q254" t="s">
        <v>632</v>
      </c>
    </row>
    <row r="255" spans="1:28">
      <c r="A255" t="str">
        <v>255行</v>
      </c>
      <c r="B255" t="str">
        <f ca="1"/>
        <v>- O255：作業員_13（現在の内容：""）</v>
      </c>
      <c r="C255" t="str">
        <f ca="1"/>
        <v>- O628：工程表Excelファイル_72（現在の内容：""）</v>
      </c>
      <c r="N255" t="s">
        <v>644</v>
      </c>
      <c r="O255" s="6"/>
      <c r="Q255" t="s">
        <v>632</v>
      </c>
    </row>
    <row r="256" spans="1:28">
      <c r="A256" t="str">
        <v>256行</v>
      </c>
      <c r="B256" t="str">
        <f ca="1"/>
        <v>- O256：作業員_14（現在の内容：""）</v>
      </c>
      <c r="C256" t="str">
        <f ca="1"/>
        <v>- O629：工程表Excelファイル_73（現在の内容：""）</v>
      </c>
      <c r="N256" t="s">
        <v>645</v>
      </c>
      <c r="O256" s="6"/>
      <c r="Q256" t="s">
        <v>632</v>
      </c>
    </row>
    <row r="257" spans="1:17">
      <c r="A257" t="str">
        <v>257行</v>
      </c>
      <c r="B257" t="str">
        <f ca="1"/>
        <v>- O257：作業員_15（現在の内容：""）</v>
      </c>
      <c r="C257" t="str">
        <f ca="1"/>
        <v>- O630：工程表Excelファイル_74（現在の内容：""）</v>
      </c>
      <c r="N257" t="s">
        <v>646</v>
      </c>
      <c r="O257" s="6"/>
      <c r="Q257" t="s">
        <v>632</v>
      </c>
    </row>
    <row r="258" spans="1:17">
      <c r="A258" t="str">
        <v>258行</v>
      </c>
      <c r="B258" t="str">
        <f ca="1"/>
        <v>- O258：作業員_16（現在の内容：""）</v>
      </c>
      <c r="C258" t="str">
        <f ca="1"/>
        <v>- O631：工程表Excelファイル_75（現在の内容：""）</v>
      </c>
      <c r="N258" t="s">
        <v>647</v>
      </c>
      <c r="O258" s="6"/>
      <c r="Q258" t="s">
        <v>632</v>
      </c>
    </row>
    <row r="259" spans="1:17">
      <c r="A259" t="str">
        <v>259行</v>
      </c>
      <c r="B259" t="str">
        <f ca="1"/>
        <v>- O259：作業員_17（現在の内容：""）</v>
      </c>
      <c r="C259" t="str">
        <f ca="1"/>
        <v>- O632：工程表Excelファイル_76（現在の内容：""）</v>
      </c>
      <c r="N259" t="s">
        <v>648</v>
      </c>
      <c r="O259" s="6"/>
      <c r="Q259" t="s">
        <v>632</v>
      </c>
    </row>
    <row r="260" spans="1:17">
      <c r="A260" t="str">
        <v>260行</v>
      </c>
      <c r="B260" t="str">
        <f ca="1"/>
        <v>- O260：作業員_18（現在の内容：""）</v>
      </c>
      <c r="C260" t="str">
        <f ca="1"/>
        <v>- O633：工程表Excelファイル_77（現在の内容：""）</v>
      </c>
      <c r="N260" t="s">
        <v>649</v>
      </c>
      <c r="O260" s="6"/>
      <c r="Q260" t="s">
        <v>632</v>
      </c>
    </row>
    <row r="261" spans="1:17">
      <c r="A261" t="str">
        <v>261行</v>
      </c>
      <c r="B261" t="str">
        <f ca="1"/>
        <v>- O261：作業員_19（現在の内容：""）</v>
      </c>
      <c r="C261" t="str">
        <f ca="1"/>
        <v>- O634：工程表Excelファイル_78（現在の内容：""）</v>
      </c>
      <c r="N261" t="s">
        <v>650</v>
      </c>
      <c r="O261" s="6"/>
      <c r="Q261" t="s">
        <v>632</v>
      </c>
    </row>
    <row r="262" spans="1:17">
      <c r="A262" t="str">
        <v>262行</v>
      </c>
      <c r="B262" t="str">
        <f ca="1"/>
        <v>- O262：作業員_20（現在の内容：""）</v>
      </c>
      <c r="C262" t="str">
        <f ca="1"/>
        <v>- O635：工程表Excelファイル_79（現在の内容：""）</v>
      </c>
      <c r="N262" t="s">
        <v>651</v>
      </c>
      <c r="O262" s="6"/>
      <c r="Q262" t="s">
        <v>632</v>
      </c>
    </row>
    <row r="263" spans="1:17">
      <c r="A263" t="str">
        <v>263行</v>
      </c>
      <c r="B263" t="str">
        <f ca="1"/>
        <v/>
      </c>
      <c r="C263" t="str">
        <f ca="1"/>
        <v>- O636：工程表Excelファイル_80（現在の内容：""）</v>
      </c>
    </row>
    <row r="264" spans="1:17">
      <c r="A264" t="str">
        <v>264行</v>
      </c>
      <c r="B264" t="str">
        <f ca="1"/>
        <v/>
      </c>
      <c r="C264" t="str">
        <f ca="1"/>
        <v>- O637：工程表Excelファイル_81（現在の内容：""）</v>
      </c>
    </row>
    <row r="265" spans="1:17">
      <c r="A265" t="str">
        <v>265行</v>
      </c>
      <c r="B265" t="str">
        <f ca="1"/>
        <v/>
      </c>
      <c r="C265" t="str">
        <f ca="1"/>
        <v>- O638：工程表Excelファイル_82（現在の内容：""）</v>
      </c>
    </row>
    <row r="266" spans="1:17">
      <c r="A266" t="str">
        <v>266行</v>
      </c>
      <c r="B266" t="str">
        <f ca="1"/>
        <v/>
      </c>
      <c r="C266" t="str">
        <f ca="1"/>
        <v>- O639：工程表Excelファイル_83（現在の内容：""）</v>
      </c>
    </row>
    <row r="267" spans="1:17">
      <c r="A267" t="str">
        <v>267行</v>
      </c>
      <c r="B267" t="str">
        <f ca="1"/>
        <v/>
      </c>
      <c r="C267" t="str">
        <f ca="1"/>
        <v>- O640：工程表Excelファイル_84（現在の内容：""）</v>
      </c>
    </row>
    <row r="268" spans="1:17">
      <c r="A268" t="str">
        <v>268行</v>
      </c>
      <c r="B268" t="str">
        <f ca="1"/>
        <v/>
      </c>
      <c r="C268" t="str">
        <f ca="1"/>
        <v>- O641：工程表Excelファイル_85（現在の内容：""）</v>
      </c>
    </row>
    <row r="269" spans="1:17">
      <c r="A269" t="str">
        <v>269行</v>
      </c>
      <c r="B269" t="str">
        <f ca="1"/>
        <v/>
      </c>
      <c r="C269" t="str">
        <f ca="1"/>
        <v>- O642：工程表Excelファイル_86（現在の内容：""）</v>
      </c>
    </row>
    <row r="270" spans="1:17">
      <c r="A270" t="str">
        <v>270行</v>
      </c>
      <c r="B270" t="str">
        <f ca="1"/>
        <v/>
      </c>
      <c r="C270" t="str">
        <f ca="1"/>
        <v>- O643：工程表Excelファイル_87（現在の内容：""）</v>
      </c>
    </row>
    <row r="271" spans="1:17">
      <c r="A271" t="str">
        <v>271行</v>
      </c>
      <c r="B271" t="str">
        <f ca="1"/>
        <v/>
      </c>
      <c r="C271" t="str">
        <f ca="1"/>
        <v>- O644：工程表Excelファイル_88（現在の内容：""）</v>
      </c>
    </row>
    <row r="272" spans="1:17">
      <c r="A272" t="str">
        <v>272行</v>
      </c>
      <c r="B272" t="str">
        <f ca="1"/>
        <v/>
      </c>
      <c r="C272" t="str">
        <f ca="1"/>
        <v>- O645：工程表Excelファイル_89（現在の内容：""）</v>
      </c>
    </row>
    <row r="273" spans="1:18">
      <c r="A273" t="str">
        <v>273行</v>
      </c>
      <c r="B273" t="str">
        <f ca="1"/>
        <v/>
      </c>
      <c r="C273" t="str">
        <f ca="1"/>
        <v>- O646：工程表Excelファイル_90（現在の内容：""）</v>
      </c>
    </row>
    <row r="274" spans="1:18">
      <c r="A274" t="str">
        <v>274行</v>
      </c>
      <c r="B274" t="str">
        <f ca="1"/>
        <v/>
      </c>
      <c r="C274" t="str">
        <f ca="1"/>
        <v>- O647：工程表Excelファイル_91（現在の内容：""）</v>
      </c>
    </row>
    <row r="275" spans="1:18">
      <c r="A275" t="str">
        <v>275行</v>
      </c>
      <c r="B275" t="str">
        <f ca="1"/>
        <v>- O275：管内1_1（現在の内容：""）</v>
      </c>
      <c r="C275" t="str">
        <f ca="1"/>
        <v>- O648：工程表Excelファイル_92（現在の内容：""）</v>
      </c>
      <c r="M275" t="s">
        <v>652</v>
      </c>
      <c r="N275" t="s">
        <v>653</v>
      </c>
      <c r="O275" s="6"/>
      <c r="P275" t="s">
        <v>654</v>
      </c>
      <c r="R275" t="s">
        <v>629</v>
      </c>
    </row>
    <row r="276" spans="1:18">
      <c r="A276" t="str">
        <v>276行</v>
      </c>
      <c r="B276" t="str">
        <f ca="1"/>
        <v>- O276：管内1_2（現在の内容：""）</v>
      </c>
      <c r="C276" t="str">
        <f ca="1"/>
        <v>- O649：工程表Excelファイル_93（現在の内容：""）</v>
      </c>
      <c r="N276" t="s">
        <v>655</v>
      </c>
      <c r="O276" s="6"/>
      <c r="P276" t="s">
        <v>293</v>
      </c>
      <c r="R276" t="s">
        <v>629</v>
      </c>
    </row>
    <row r="277" spans="1:18">
      <c r="A277" t="str">
        <v>277行</v>
      </c>
      <c r="B277" t="str">
        <f ca="1"/>
        <v>- O277：管内1_3（現在の内容：""）</v>
      </c>
      <c r="C277" t="str">
        <f ca="1"/>
        <v>- O650：工程表Excelファイル_94（現在の内容：""）</v>
      </c>
      <c r="N277" t="s">
        <v>656</v>
      </c>
      <c r="O277" s="6"/>
      <c r="P277" t="s">
        <v>306</v>
      </c>
      <c r="R277" t="s">
        <v>629</v>
      </c>
    </row>
    <row r="278" spans="1:18">
      <c r="A278" t="str">
        <v>278行</v>
      </c>
      <c r="B278" t="str">
        <f ca="1"/>
        <v>- O278：管内1_4（現在の内容：""）</v>
      </c>
      <c r="C278" t="str">
        <f ca="1"/>
        <v>- O651：工程表Excelファイル_95（現在の内容：""）</v>
      </c>
      <c r="N278" t="s">
        <v>657</v>
      </c>
      <c r="O278" s="6"/>
      <c r="P278" t="s">
        <v>328</v>
      </c>
      <c r="R278" t="s">
        <v>629</v>
      </c>
    </row>
    <row r="279" spans="1:18">
      <c r="A279" t="str">
        <v>279行</v>
      </c>
      <c r="B279" t="str">
        <f ca="1"/>
        <v>- O279：管内1_5（現在の内容：""）</v>
      </c>
      <c r="C279" t="str">
        <f ca="1"/>
        <v>- O652：工程表Excelファイル_96（現在の内容：""）</v>
      </c>
      <c r="N279" t="s">
        <v>658</v>
      </c>
      <c r="O279" s="6"/>
      <c r="P279" t="s">
        <v>659</v>
      </c>
      <c r="R279" t="s">
        <v>629</v>
      </c>
    </row>
    <row r="280" spans="1:18">
      <c r="A280" t="str">
        <v>280行</v>
      </c>
      <c r="B280" t="str">
        <f ca="1"/>
        <v>- O280：管内1_6（現在の内容：""）</v>
      </c>
      <c r="C280" t="str">
        <f ca="1"/>
        <v>- O653：工程表Excelファイル_97（現在の内容：""）</v>
      </c>
      <c r="N280" t="s">
        <v>660</v>
      </c>
      <c r="O280" s="6"/>
      <c r="P280" t="s">
        <v>346</v>
      </c>
      <c r="R280" t="s">
        <v>629</v>
      </c>
    </row>
    <row r="281" spans="1:18">
      <c r="A281" t="str">
        <v>281行</v>
      </c>
      <c r="B281" t="str">
        <f ca="1"/>
        <v>- O281：管内1_7（現在の内容：""）</v>
      </c>
      <c r="C281" t="str">
        <f ca="1"/>
        <v>- O654：工程表Excelファイル_98（現在の内容：""）</v>
      </c>
      <c r="N281" t="s">
        <v>661</v>
      </c>
      <c r="O281" s="6"/>
      <c r="P281" t="s">
        <v>662</v>
      </c>
      <c r="R281" t="s">
        <v>629</v>
      </c>
    </row>
    <row r="282" spans="1:18">
      <c r="A282" t="str">
        <v>282行</v>
      </c>
      <c r="B282" t="str">
        <f ca="1"/>
        <v>- O282：管内1_8（現在の内容：""）</v>
      </c>
      <c r="C282" t="str">
        <f ca="1"/>
        <v>- O655：工程表Excelファイル_99（現在の内容：""）</v>
      </c>
      <c r="N282" t="s">
        <v>663</v>
      </c>
      <c r="O282" s="6"/>
      <c r="R282" t="s">
        <v>629</v>
      </c>
    </row>
    <row r="283" spans="1:18">
      <c r="A283" t="str">
        <v>283行</v>
      </c>
      <c r="B283" t="str">
        <f ca="1"/>
        <v>- O283：管内1_9（現在の内容：""）</v>
      </c>
      <c r="C283" t="str">
        <f ca="1"/>
        <v>- O656：工程表Excelファイル_100（現在の内容：""）</v>
      </c>
      <c r="N283" t="s">
        <v>664</v>
      </c>
      <c r="O283" s="6"/>
      <c r="R283" t="s">
        <v>629</v>
      </c>
    </row>
    <row r="284" spans="1:18">
      <c r="A284" t="str">
        <v>284行</v>
      </c>
      <c r="B284" t="str">
        <f ca="1"/>
        <v>- O284：管内1_10（現在の内容：""）</v>
      </c>
      <c r="C284" t="str">
        <f ca="1"/>
        <v>- O657：工程表Excelファイル_101（現在の内容：""）</v>
      </c>
      <c r="N284" t="s">
        <v>665</v>
      </c>
      <c r="O284" s="6"/>
      <c r="R284" t="s">
        <v>629</v>
      </c>
    </row>
    <row r="285" spans="1:18">
      <c r="A285" t="str">
        <v>285行</v>
      </c>
      <c r="B285" t="str">
        <f ca="1"/>
        <v>- O285：管内1_11（現在の内容：""）</v>
      </c>
      <c r="C285" t="str">
        <f ca="1"/>
        <v>- O658：工程表Excelファイル_102（現在の内容：""）</v>
      </c>
      <c r="N285" t="s">
        <v>666</v>
      </c>
      <c r="O285" s="6"/>
      <c r="R285" t="s">
        <v>629</v>
      </c>
    </row>
    <row r="286" spans="1:18">
      <c r="A286" t="str">
        <v>286行</v>
      </c>
      <c r="B286" t="str">
        <f ca="1"/>
        <v>- O286：管内1_12（現在の内容：""）</v>
      </c>
      <c r="C286" t="str">
        <f ca="1"/>
        <v>- O659：工程表Excelファイル_103（現在の内容：""）</v>
      </c>
      <c r="N286" t="s">
        <v>667</v>
      </c>
      <c r="O286" s="6"/>
      <c r="R286" t="s">
        <v>629</v>
      </c>
    </row>
    <row r="287" spans="1:18">
      <c r="A287" t="str">
        <v>287行</v>
      </c>
      <c r="B287" t="str">
        <f ca="1"/>
        <v>- O287：管内1_13（現在の内容：""）</v>
      </c>
      <c r="C287" t="str">
        <f ca="1"/>
        <v>- O660：工程表Excelファイル_104（現在の内容：""）</v>
      </c>
      <c r="N287" t="s">
        <v>668</v>
      </c>
      <c r="O287" s="6"/>
      <c r="R287" t="s">
        <v>629</v>
      </c>
    </row>
    <row r="288" spans="1:18">
      <c r="A288" t="str">
        <v>288行</v>
      </c>
      <c r="B288" t="str">
        <f ca="1"/>
        <v>- O288：管内1_14（現在の内容：""）</v>
      </c>
      <c r="C288" t="str">
        <f ca="1"/>
        <v>- O661：工程表Excelファイル_105（現在の内容：""）</v>
      </c>
      <c r="N288" t="s">
        <v>669</v>
      </c>
      <c r="O288" s="6"/>
      <c r="R288" t="s">
        <v>629</v>
      </c>
    </row>
    <row r="289" spans="1:18">
      <c r="A289" t="str">
        <v>289行</v>
      </c>
      <c r="B289" t="str">
        <f ca="1"/>
        <v>- O289：管内1_15（現在の内容：""）</v>
      </c>
      <c r="C289" t="str">
        <f ca="1"/>
        <v>- O662：工程表Excelファイル_106（現在の内容：""）</v>
      </c>
      <c r="N289" t="s">
        <v>670</v>
      </c>
      <c r="O289" s="6"/>
      <c r="R289" t="s">
        <v>629</v>
      </c>
    </row>
    <row r="290" spans="1:18">
      <c r="A290" t="str">
        <v>290行</v>
      </c>
      <c r="B290" t="str">
        <f ca="1"/>
        <v>- O290：管内1_16（現在の内容：""）</v>
      </c>
      <c r="C290" t="str">
        <f ca="1"/>
        <v>- O663：工程表Excelファイル_107（現在の内容：""）</v>
      </c>
      <c r="N290" t="s">
        <v>671</v>
      </c>
      <c r="O290" s="6"/>
      <c r="R290" t="s">
        <v>629</v>
      </c>
    </row>
    <row r="291" spans="1:18">
      <c r="A291" t="str">
        <v>291行</v>
      </c>
      <c r="B291" t="str">
        <f ca="1"/>
        <v>- O291：管内1_17（現在の内容：""）</v>
      </c>
      <c r="C291" t="str">
        <f ca="1"/>
        <v>- O664：工程表Excelファイル_108（現在の内容：""）</v>
      </c>
      <c r="N291" t="s">
        <v>672</v>
      </c>
      <c r="O291" s="6"/>
      <c r="R291" t="s">
        <v>629</v>
      </c>
    </row>
    <row r="292" spans="1:18">
      <c r="A292" t="str">
        <v>292行</v>
      </c>
      <c r="B292" t="str">
        <f ca="1"/>
        <v>- O292：管内1_18（現在の内容：""）</v>
      </c>
      <c r="C292" t="str">
        <f ca="1"/>
        <v>- O665：工程表Excelファイル_109（現在の内容：""）</v>
      </c>
      <c r="N292" t="s">
        <v>673</v>
      </c>
      <c r="O292" s="6"/>
      <c r="R292" t="s">
        <v>629</v>
      </c>
    </row>
    <row r="293" spans="1:18">
      <c r="A293" t="str">
        <v>293行</v>
      </c>
      <c r="B293" t="str">
        <f ca="1"/>
        <v>- O293：管内1_19（現在の内容：""）</v>
      </c>
      <c r="C293" t="str">
        <f ca="1"/>
        <v>- O666：工程表Excelファイル_110（現在の内容：""）</v>
      </c>
      <c r="N293" t="s">
        <v>674</v>
      </c>
      <c r="O293" s="6"/>
      <c r="R293" t="s">
        <v>629</v>
      </c>
    </row>
    <row r="294" spans="1:18">
      <c r="A294" t="str">
        <v>294行</v>
      </c>
      <c r="B294" t="str">
        <f ca="1"/>
        <v>- O294：管内1_20（現在の内容：""）</v>
      </c>
      <c r="C294" t="str">
        <f ca="1"/>
        <v>- O667：工程表Excelファイル_111（現在の内容：""）</v>
      </c>
      <c r="N294" t="s">
        <v>675</v>
      </c>
      <c r="O294" s="6"/>
      <c r="R294" t="s">
        <v>629</v>
      </c>
    </row>
    <row r="295" spans="1:18">
      <c r="A295" t="str">
        <v>295行</v>
      </c>
      <c r="B295" t="str">
        <f ca="1"/>
        <v/>
      </c>
      <c r="C295" t="str">
        <f ca="1"/>
        <v>- O668：工程表Excelファイル_112（現在の内容：""）</v>
      </c>
    </row>
    <row r="296" spans="1:18">
      <c r="A296" t="str">
        <v>296行</v>
      </c>
      <c r="B296" t="str">
        <f ca="1"/>
        <v/>
      </c>
      <c r="C296" t="str">
        <f ca="1"/>
        <v>- O669：工程表Excelファイル_113（現在の内容：""）</v>
      </c>
    </row>
    <row r="297" spans="1:18">
      <c r="A297" t="str">
        <v>297行</v>
      </c>
      <c r="B297" t="str">
        <f ca="1"/>
        <v/>
      </c>
      <c r="C297" t="str">
        <f ca="1"/>
        <v>- O670：工程表Excelファイル_114（現在の内容：""）</v>
      </c>
    </row>
    <row r="298" spans="1:18">
      <c r="A298" t="str">
        <v>298行</v>
      </c>
      <c r="B298" t="str">
        <f ca="1"/>
        <v/>
      </c>
      <c r="C298" t="str">
        <f ca="1"/>
        <v>- O671：工程表Excelファイル_115（現在の内容：""）</v>
      </c>
    </row>
    <row r="299" spans="1:18">
      <c r="A299" t="str">
        <v>299行</v>
      </c>
      <c r="B299" t="str">
        <f ca="1"/>
        <v/>
      </c>
      <c r="C299" t="str">
        <f ca="1"/>
        <v>- O672：工程表Excelファイル_116（現在の内容：""）</v>
      </c>
    </row>
    <row r="300" spans="1:18">
      <c r="A300" t="str">
        <v>300行</v>
      </c>
      <c r="B300" t="str">
        <f ca="1"/>
        <v/>
      </c>
      <c r="C300" t="str">
        <f ca="1"/>
        <v>- O673：工程表Excelファイル_117（現在の内容：""）</v>
      </c>
    </row>
    <row r="301" spans="1:18">
      <c r="A301" t="str">
        <v>301行</v>
      </c>
      <c r="B301" t="str">
        <f ca="1"/>
        <v/>
      </c>
      <c r="C301" t="str">
        <f ca="1"/>
        <v>- O674：工程表Excelファイル_118（現在の内容：""）</v>
      </c>
    </row>
    <row r="302" spans="1:18">
      <c r="A302" t="str">
        <v>302行</v>
      </c>
      <c r="B302" t="str">
        <f ca="1"/>
        <v/>
      </c>
      <c r="C302" t="str">
        <f ca="1"/>
        <v>- O675：工程表Excelファイル_119（現在の内容：""）</v>
      </c>
    </row>
    <row r="303" spans="1:18">
      <c r="A303" t="str">
        <v>303行</v>
      </c>
      <c r="B303" t="str">
        <f ca="1"/>
        <v/>
      </c>
      <c r="C303" t="str">
        <f ca="1"/>
        <v>- O676：工程表Excelファイル_120（現在の内容：""）</v>
      </c>
    </row>
    <row r="304" spans="1:18">
      <c r="A304" t="str">
        <v>304行</v>
      </c>
      <c r="B304" t="str">
        <f ca="1"/>
        <v/>
      </c>
      <c r="C304" t="str">
        <f ca="1"/>
        <v>- O677：工程表Excelファイル_121（現在の内容：""）</v>
      </c>
    </row>
    <row r="305" spans="1:18">
      <c r="A305" t="str">
        <v>305行</v>
      </c>
      <c r="B305" t="str">
        <f ca="1"/>
        <v>- O305：管内2_1（現在の内容：""）</v>
      </c>
      <c r="C305" t="str">
        <f ca="1"/>
        <v>- O678：工程表Excelファイル_122（現在の内容：""）</v>
      </c>
      <c r="N305" t="s">
        <v>676</v>
      </c>
      <c r="O305" s="6"/>
      <c r="P305" t="s">
        <v>677</v>
      </c>
      <c r="R305" t="s">
        <v>629</v>
      </c>
    </row>
    <row r="306" spans="1:18">
      <c r="A306" t="str">
        <v>306行</v>
      </c>
      <c r="B306" t="str">
        <f ca="1"/>
        <v>- O306：管内2_2（現在の内容：""）</v>
      </c>
      <c r="C306" t="str">
        <f ca="1"/>
        <v>- O679：工程表Excelファイル_123（現在の内容：""）</v>
      </c>
      <c r="N306" t="s">
        <v>678</v>
      </c>
      <c r="O306" s="6"/>
      <c r="P306" t="s">
        <v>679</v>
      </c>
      <c r="R306" t="s">
        <v>629</v>
      </c>
    </row>
    <row r="307" spans="1:18">
      <c r="A307" t="str">
        <v>307行</v>
      </c>
      <c r="B307" t="str">
        <f ca="1"/>
        <v>- O307：管内2_3（現在の内容：""）</v>
      </c>
      <c r="C307" t="str">
        <f ca="1"/>
        <v>- O680：工程表Excelファイル_124（現在の内容：""）</v>
      </c>
      <c r="N307" t="s">
        <v>680</v>
      </c>
      <c r="O307" s="6"/>
      <c r="P307" t="s">
        <v>681</v>
      </c>
      <c r="R307" t="s">
        <v>629</v>
      </c>
    </row>
    <row r="308" spans="1:18">
      <c r="A308" t="str">
        <v>308行</v>
      </c>
      <c r="B308" t="str">
        <f ca="1"/>
        <v>- O308：管内2_4（現在の内容：""）</v>
      </c>
      <c r="C308" t="str">
        <f ca="1"/>
        <v>- O681：工程表Excelファイル_125（現在の内容：""）</v>
      </c>
      <c r="N308" t="s">
        <v>682</v>
      </c>
      <c r="O308" s="6"/>
      <c r="P308" t="s">
        <v>293</v>
      </c>
      <c r="R308" t="s">
        <v>629</v>
      </c>
    </row>
    <row r="309" spans="1:18">
      <c r="A309" t="str">
        <v>309行</v>
      </c>
      <c r="B309" t="str">
        <f ca="1"/>
        <v>- O309：管内2_5（現在の内容：""）</v>
      </c>
      <c r="C309" t="str">
        <f ca="1"/>
        <v>- O682：工程表Excelファイル_126（現在の内容：""）</v>
      </c>
      <c r="N309" t="s">
        <v>683</v>
      </c>
      <c r="O309" s="6"/>
      <c r="P309" t="s">
        <v>306</v>
      </c>
      <c r="R309" t="s">
        <v>629</v>
      </c>
    </row>
    <row r="310" spans="1:18">
      <c r="A310" t="str">
        <v>310行</v>
      </c>
      <c r="B310" t="str">
        <f ca="1"/>
        <v>- O310：管内2_6（現在の内容：""）</v>
      </c>
      <c r="C310" t="str">
        <f ca="1"/>
        <v>- O683：工程表Excelファイル_127（現在の内容：""）</v>
      </c>
      <c r="N310" t="s">
        <v>684</v>
      </c>
      <c r="O310" s="6"/>
      <c r="P310" t="s">
        <v>315</v>
      </c>
      <c r="R310" t="s">
        <v>629</v>
      </c>
    </row>
    <row r="311" spans="1:18">
      <c r="A311" t="str">
        <v>311行</v>
      </c>
      <c r="B311" t="str">
        <f ca="1"/>
        <v>- O311：管内2_7（現在の内容：""）</v>
      </c>
      <c r="C311" t="str">
        <f ca="1"/>
        <v>- O684：工程表Excelファイル_128（現在の内容：""）</v>
      </c>
      <c r="N311" t="s">
        <v>685</v>
      </c>
      <c r="O311" s="6"/>
      <c r="P311" t="s">
        <v>329</v>
      </c>
      <c r="R311" t="s">
        <v>629</v>
      </c>
    </row>
    <row r="312" spans="1:18">
      <c r="A312" t="str">
        <v>312行</v>
      </c>
      <c r="B312" t="str">
        <f ca="1"/>
        <v>- O312：管内2_8（現在の内容：""）</v>
      </c>
      <c r="C312" t="str">
        <f ca="1"/>
        <v>- O685：工程表Excelファイル_129（現在の内容：""）</v>
      </c>
      <c r="N312" t="s">
        <v>686</v>
      </c>
      <c r="O312" s="6"/>
      <c r="P312" t="s">
        <v>659</v>
      </c>
      <c r="R312" t="s">
        <v>629</v>
      </c>
    </row>
    <row r="313" spans="1:18">
      <c r="A313" t="str">
        <v>313行</v>
      </c>
      <c r="B313" t="str">
        <f ca="1"/>
        <v>- O313：管内2_9（現在の内容：""）</v>
      </c>
      <c r="C313" t="str">
        <f ca="1"/>
        <v>- O686：工程表Excelファイル_130（現在の内容：""）</v>
      </c>
      <c r="N313" t="s">
        <v>687</v>
      </c>
      <c r="O313" s="6"/>
      <c r="P313" t="s">
        <v>346</v>
      </c>
      <c r="R313" t="s">
        <v>629</v>
      </c>
    </row>
    <row r="314" spans="1:18">
      <c r="A314" t="str">
        <v>314行</v>
      </c>
      <c r="B314" t="str">
        <f ca="1"/>
        <v>- O314：管内2_10（現在の内容：""）</v>
      </c>
      <c r="C314" t="str">
        <f ca="1"/>
        <v>- O687：工程表Excelファイル_131（現在の内容：""）</v>
      </c>
      <c r="N314" t="s">
        <v>688</v>
      </c>
      <c r="O314" s="6"/>
      <c r="P314" t="s">
        <v>662</v>
      </c>
      <c r="R314" t="s">
        <v>629</v>
      </c>
    </row>
    <row r="315" spans="1:18">
      <c r="A315" t="str">
        <v>315行</v>
      </c>
      <c r="B315" t="str">
        <f ca="1"/>
        <v>- O315：管内2_11（現在の内容：""）</v>
      </c>
      <c r="C315" t="str">
        <f ca="1"/>
        <v>- O688：工程表Excelファイル_132（現在の内容：""）</v>
      </c>
      <c r="N315" t="s">
        <v>689</v>
      </c>
      <c r="O315" s="6"/>
      <c r="R315" t="s">
        <v>629</v>
      </c>
    </row>
    <row r="316" spans="1:18">
      <c r="A316" t="str">
        <v>316行</v>
      </c>
      <c r="B316" t="str">
        <f ca="1"/>
        <v>- O316：管内2_12（現在の内容：""）</v>
      </c>
      <c r="C316" t="str">
        <f ca="1"/>
        <v>- O689：工程表Excelファイル_133（現在の内容：""）</v>
      </c>
      <c r="N316" t="s">
        <v>690</v>
      </c>
      <c r="O316" s="6"/>
      <c r="R316" t="s">
        <v>629</v>
      </c>
    </row>
    <row r="317" spans="1:18">
      <c r="A317" t="str">
        <v>317行</v>
      </c>
      <c r="B317" t="str">
        <f ca="1"/>
        <v>- O317：管内2_13（現在の内容：""）</v>
      </c>
      <c r="C317" t="str">
        <f ca="1"/>
        <v>- O690：工程表Excelファイル_134（現在の内容：""）</v>
      </c>
      <c r="N317" t="s">
        <v>691</v>
      </c>
      <c r="O317" s="6"/>
      <c r="R317" t="s">
        <v>629</v>
      </c>
    </row>
    <row r="318" spans="1:18">
      <c r="A318" t="str">
        <v>318行</v>
      </c>
      <c r="B318" t="str">
        <f ca="1"/>
        <v>- O318：管内2_14（現在の内容：""）</v>
      </c>
      <c r="C318" t="str">
        <f ca="1"/>
        <v>- O691：工程表Excelファイル_135（現在の内容：""）</v>
      </c>
      <c r="N318" t="s">
        <v>692</v>
      </c>
      <c r="O318" s="6"/>
      <c r="R318" t="s">
        <v>629</v>
      </c>
    </row>
    <row r="319" spans="1:18">
      <c r="A319" t="str">
        <v>319行</v>
      </c>
      <c r="B319" t="str">
        <f ca="1"/>
        <v>- O319：管内2_15（現在の内容：""）</v>
      </c>
      <c r="C319" t="str">
        <f ca="1"/>
        <v>- O692：工程表Excelファイル_136（現在の内容：""）</v>
      </c>
      <c r="N319" t="s">
        <v>693</v>
      </c>
      <c r="O319" s="6"/>
      <c r="R319" t="s">
        <v>629</v>
      </c>
    </row>
    <row r="320" spans="1:18">
      <c r="A320" t="str">
        <v>320行</v>
      </c>
      <c r="B320" t="str">
        <f ca="1"/>
        <v>- O320：管内2_16（現在の内容：""）</v>
      </c>
      <c r="C320" t="str">
        <f ca="1"/>
        <v>- O693：工程表Excelファイル_137（現在の内容：""）</v>
      </c>
      <c r="N320" t="s">
        <v>694</v>
      </c>
      <c r="O320" s="6"/>
      <c r="R320" t="s">
        <v>629</v>
      </c>
    </row>
    <row r="321" spans="1:18">
      <c r="A321" t="str">
        <v>321行</v>
      </c>
      <c r="B321" t="str">
        <f ca="1"/>
        <v>- O321：管内2_17（現在の内容：""）</v>
      </c>
      <c r="C321" t="str">
        <f ca="1"/>
        <v>- O694：工程表Excelファイル_138（現在の内容：""）</v>
      </c>
      <c r="N321" t="s">
        <v>695</v>
      </c>
      <c r="O321" s="6"/>
      <c r="R321" t="s">
        <v>629</v>
      </c>
    </row>
    <row r="322" spans="1:18">
      <c r="A322" t="str">
        <v>322行</v>
      </c>
      <c r="B322" t="str">
        <f ca="1"/>
        <v>- O322：管内2_18（現在の内容：""）</v>
      </c>
      <c r="C322" t="str">
        <f ca="1"/>
        <v>- O695：工程表Excelファイル_139（現在の内容：""）</v>
      </c>
      <c r="N322" t="s">
        <v>696</v>
      </c>
      <c r="O322" s="6"/>
      <c r="R322" t="s">
        <v>629</v>
      </c>
    </row>
    <row r="323" spans="1:18">
      <c r="A323" t="str">
        <v>323行</v>
      </c>
      <c r="B323" t="str">
        <f ca="1"/>
        <v>- O323：管内2_19（現在の内容：""）</v>
      </c>
      <c r="C323" t="str">
        <f ca="1"/>
        <v>- O696：工程表Excelファイル_140（現在の内容：""）</v>
      </c>
      <c r="N323" t="s">
        <v>697</v>
      </c>
      <c r="O323" s="6"/>
      <c r="R323" t="s">
        <v>629</v>
      </c>
    </row>
    <row r="324" spans="1:18">
      <c r="A324" t="str">
        <v>324行</v>
      </c>
      <c r="B324" t="str">
        <f ca="1"/>
        <v>- O324：管内2_20（現在の内容：""）</v>
      </c>
      <c r="C324" t="str">
        <f ca="1"/>
        <v>- O697：工程表Excelファイル_141（現在の内容：""）</v>
      </c>
      <c r="N324" t="s">
        <v>698</v>
      </c>
      <c r="O324" s="6"/>
      <c r="R324" t="s">
        <v>629</v>
      </c>
    </row>
    <row r="325" spans="1:18">
      <c r="A325" t="str">
        <v>325行</v>
      </c>
      <c r="B325" t="str">
        <f ca="1"/>
        <v>- O325：管内2_21（現在の内容：""）</v>
      </c>
      <c r="C325" t="str">
        <f ca="1"/>
        <v>- O698：工程表Excelファイル_142（現在の内容：""）</v>
      </c>
      <c r="N325" t="s">
        <v>699</v>
      </c>
      <c r="O325" s="6"/>
      <c r="R325" t="s">
        <v>629</v>
      </c>
    </row>
    <row r="326" spans="1:18">
      <c r="A326" t="str">
        <v>326行</v>
      </c>
      <c r="B326" t="str">
        <f ca="1"/>
        <v>- O326：管内2_22（現在の内容：""）</v>
      </c>
      <c r="C326" t="str">
        <f ca="1"/>
        <v>- O699：工程表Excelファイル_143（現在の内容：""）</v>
      </c>
      <c r="N326" t="s">
        <v>700</v>
      </c>
      <c r="O326" s="6"/>
      <c r="R326" t="s">
        <v>629</v>
      </c>
    </row>
    <row r="327" spans="1:18">
      <c r="A327" t="str">
        <v>327行</v>
      </c>
      <c r="B327" t="str">
        <f ca="1"/>
        <v>- O327：管内2_23（現在の内容：""）</v>
      </c>
      <c r="C327" t="str">
        <f ca="1"/>
        <v>- O700：工程表Excelファイル_144（現在の内容：""）</v>
      </c>
      <c r="N327" t="s">
        <v>701</v>
      </c>
      <c r="O327" s="6"/>
      <c r="R327" t="s">
        <v>629</v>
      </c>
    </row>
    <row r="328" spans="1:18">
      <c r="A328" t="str">
        <v>328行</v>
      </c>
      <c r="B328" t="str">
        <f ca="1"/>
        <v>- O328：管内2_24（現在の内容：""）</v>
      </c>
      <c r="C328" t="str">
        <f ca="1"/>
        <v>- O701：工程表Excelファイル_145（現在の内容：""）</v>
      </c>
      <c r="N328" t="s">
        <v>702</v>
      </c>
      <c r="O328" s="6"/>
      <c r="R328" t="s">
        <v>629</v>
      </c>
    </row>
    <row r="329" spans="1:18">
      <c r="A329" t="str">
        <v>329行</v>
      </c>
      <c r="B329" t="str">
        <f ca="1"/>
        <v>- O329：管内2_25（現在の内容：""）</v>
      </c>
      <c r="C329" t="str">
        <f ca="1"/>
        <v>- O702：工程表Excelファイル_146（現在の内容：""）</v>
      </c>
      <c r="N329" t="s">
        <v>703</v>
      </c>
      <c r="O329" s="6"/>
      <c r="R329" t="s">
        <v>629</v>
      </c>
    </row>
    <row r="330" spans="1:18">
      <c r="A330" t="str">
        <v>330行</v>
      </c>
      <c r="B330" t="str">
        <f ca="1"/>
        <v>- O330：管内2_26（現在の内容：""）</v>
      </c>
      <c r="C330" t="str">
        <f ca="1"/>
        <v>- O703：工程表Excelファイル_147（現在の内容：""）</v>
      </c>
      <c r="N330" t="s">
        <v>704</v>
      </c>
      <c r="O330" s="6"/>
      <c r="R330" t="s">
        <v>629</v>
      </c>
    </row>
    <row r="331" spans="1:18">
      <c r="A331" t="str">
        <v>331行</v>
      </c>
      <c r="B331" t="str">
        <f ca="1"/>
        <v>- O331：管内2_27（現在の内容：""）</v>
      </c>
      <c r="C331" t="str">
        <f ca="1"/>
        <v>- O704：工程表Excelファイル_148（現在の内容：""）</v>
      </c>
      <c r="N331" t="s">
        <v>705</v>
      </c>
      <c r="O331" s="6"/>
      <c r="R331" t="s">
        <v>629</v>
      </c>
    </row>
    <row r="332" spans="1:18">
      <c r="A332" t="str">
        <v>332行</v>
      </c>
      <c r="B332" t="str">
        <f ca="1"/>
        <v>- O332：管内2_28（現在の内容：""）</v>
      </c>
      <c r="C332" t="str">
        <f ca="1"/>
        <v>- O705：工程表Excelファイル_149（現在の内容：""）</v>
      </c>
      <c r="N332" t="s">
        <v>706</v>
      </c>
      <c r="O332" s="6"/>
      <c r="R332" t="s">
        <v>629</v>
      </c>
    </row>
    <row r="333" spans="1:18">
      <c r="A333" t="str">
        <v>333行</v>
      </c>
      <c r="B333" t="str">
        <f ca="1"/>
        <v>- O333：管内2_29（現在の内容：""）</v>
      </c>
      <c r="C333" t="str">
        <f ca="1"/>
        <v>- O706：工程表Excelファイル_150（現在の内容：""）</v>
      </c>
      <c r="N333" t="s">
        <v>707</v>
      </c>
      <c r="O333" s="6"/>
      <c r="R333" t="s">
        <v>629</v>
      </c>
    </row>
    <row r="334" spans="1:18">
      <c r="A334" t="str">
        <v>334行</v>
      </c>
      <c r="B334" t="str">
        <f ca="1"/>
        <v>- O334：管内2_30（現在の内容：""）</v>
      </c>
      <c r="C334" t="str">
        <f ca="1"/>
        <v>- O707：工程表Excelファイル_151（現在の内容：""）</v>
      </c>
      <c r="N334" t="s">
        <v>708</v>
      </c>
      <c r="O334" s="6"/>
      <c r="R334" t="s">
        <v>629</v>
      </c>
    </row>
    <row r="335" spans="1:18">
      <c r="A335" t="str">
        <v>335行</v>
      </c>
      <c r="B335" t="str">
        <f ca="1"/>
        <v/>
      </c>
      <c r="C335" t="str">
        <f ca="1"/>
        <v>- O708：工程表Excelファイル_152（現在の内容：""）</v>
      </c>
    </row>
    <row r="336" spans="1:18">
      <c r="A336" t="str">
        <v>336行</v>
      </c>
      <c r="B336" t="str">
        <f ca="1"/>
        <v/>
      </c>
      <c r="C336" t="str">
        <f ca="1"/>
        <v>- O709：工程表Excelファイル_153（現在の内容：""）</v>
      </c>
    </row>
    <row r="337" spans="1:16">
      <c r="A337" t="str">
        <v>337行</v>
      </c>
      <c r="B337" t="str">
        <f ca="1"/>
        <v/>
      </c>
      <c r="C337" t="str">
        <f ca="1"/>
        <v>- O710：工程表Excelファイル_154（現在の内容：""）</v>
      </c>
    </row>
    <row r="338" spans="1:16">
      <c r="A338" t="str">
        <v>338行</v>
      </c>
      <c r="B338" t="str">
        <f ca="1"/>
        <v/>
      </c>
      <c r="C338" t="str">
        <f ca="1"/>
        <v>- O711：工程表Excelファイル_155（現在の内容：""）</v>
      </c>
    </row>
    <row r="339" spans="1:16">
      <c r="A339" t="str">
        <v>339行</v>
      </c>
      <c r="B339" t="str">
        <f ca="1"/>
        <v/>
      </c>
      <c r="C339" t="str">
        <f ca="1"/>
        <v>- O712：工程表Excelファイル_156（現在の内容：""）</v>
      </c>
    </row>
    <row r="340" spans="1:16">
      <c r="A340" t="str">
        <v>340行</v>
      </c>
      <c r="B340" t="str">
        <f ca="1"/>
        <v/>
      </c>
      <c r="C340" t="str">
        <f ca="1"/>
        <v>- O713：工程表Excelファイル_157（現在の内容：""）</v>
      </c>
    </row>
    <row r="341" spans="1:16">
      <c r="A341" t="str">
        <v>341行</v>
      </c>
      <c r="B341" t="str">
        <f ca="1"/>
        <v/>
      </c>
      <c r="C341" t="str">
        <f ca="1"/>
        <v>- O714：工程表Excelファイル_158（現在の内容：""）</v>
      </c>
    </row>
    <row r="342" spans="1:16">
      <c r="A342" t="str">
        <v>342行</v>
      </c>
      <c r="B342" t="str">
        <f ca="1"/>
        <v/>
      </c>
      <c r="C342" t="str">
        <f ca="1"/>
        <v>- O715：工程表Excelファイル_159（現在の内容：""）</v>
      </c>
    </row>
    <row r="343" spans="1:16">
      <c r="A343" t="str">
        <v>343行</v>
      </c>
      <c r="B343" t="str">
        <f ca="1"/>
        <v/>
      </c>
      <c r="C343" t="str">
        <f ca="1"/>
        <v>- O716：工程表Excelファイル_160（現在の内容：""）</v>
      </c>
    </row>
    <row r="344" spans="1:16">
      <c r="A344" t="str">
        <v>344行</v>
      </c>
      <c r="B344" t="str">
        <f ca="1"/>
        <v/>
      </c>
      <c r="C344" t="str">
        <f ca="1"/>
        <v>- O717：工程表Excelファイル_161（現在の内容：""）</v>
      </c>
    </row>
    <row r="345" spans="1:16">
      <c r="A345" t="str">
        <v>345行</v>
      </c>
      <c r="B345" t="str">
        <f ca="1"/>
        <v/>
      </c>
      <c r="C345" t="str">
        <f ca="1"/>
        <v>- O718：工程表Excelファイル_162（現在の内容：""）</v>
      </c>
    </row>
    <row r="346" spans="1:16">
      <c r="A346" t="str">
        <v>346行</v>
      </c>
      <c r="B346" t="str">
        <f ca="1"/>
        <v>- O346：分類1（現在の内容：""）</v>
      </c>
      <c r="C346" t="str">
        <f ca="1"/>
        <v>- O719：工程表Excelファイル_163（現在の内容：""）</v>
      </c>
      <c r="N346" t="s">
        <v>709</v>
      </c>
      <c r="O346" s="6"/>
      <c r="P346" t="s">
        <v>710</v>
      </c>
    </row>
    <row r="347" spans="1:16">
      <c r="A347" t="str">
        <v>347行</v>
      </c>
      <c r="B347" t="str">
        <f ca="1"/>
        <v/>
      </c>
      <c r="C347" t="str">
        <f ca="1"/>
        <v>- O720：工程表Excelファイル_164（現在の内容：""）</v>
      </c>
    </row>
    <row r="348" spans="1:16">
      <c r="A348" t="str">
        <v>348行</v>
      </c>
      <c r="B348" t="str">
        <f ca="1"/>
        <v/>
      </c>
      <c r="C348" t="str">
        <f ca="1"/>
        <v>- O721：工程表Excelファイル_165（現在の内容：""）</v>
      </c>
    </row>
    <row r="349" spans="1:16">
      <c r="A349" t="str">
        <v>349行</v>
      </c>
      <c r="B349" t="str">
        <f ca="1"/>
        <v/>
      </c>
      <c r="C349" t="str">
        <f ca="1"/>
        <v>- O722：工程表Excelファイル_166（現在の内容：""）</v>
      </c>
    </row>
    <row r="350" spans="1:16">
      <c r="A350" t="str">
        <v>350行</v>
      </c>
      <c r="B350" t="str">
        <f ca="1"/>
        <v/>
      </c>
      <c r="C350" t="str">
        <f ca="1"/>
        <v>- O723：工程表Excelファイル_167（現在の内容：""）</v>
      </c>
    </row>
    <row r="351" spans="1:16">
      <c r="A351" t="str">
        <v>351行</v>
      </c>
      <c r="B351" t="str">
        <f ca="1"/>
        <v/>
      </c>
      <c r="C351" t="str">
        <f ca="1"/>
        <v>- O724：工程表Excelファイル_168（現在の内容：""）</v>
      </c>
    </row>
    <row r="352" spans="1:16">
      <c r="A352" t="str">
        <v>352行</v>
      </c>
      <c r="B352" t="str">
        <f ca="1"/>
        <v/>
      </c>
      <c r="C352" t="str">
        <f ca="1"/>
        <v>- O725：工程表Excelファイル_169（現在の内容：""）</v>
      </c>
    </row>
    <row r="353" spans="1:16">
      <c r="A353" t="str">
        <v>353行</v>
      </c>
      <c r="B353" t="str">
        <f ca="1"/>
        <v/>
      </c>
      <c r="C353" t="str">
        <f ca="1"/>
        <v>- O726：工程表Excelファイル_170（現在の内容：""）</v>
      </c>
    </row>
    <row r="354" spans="1:16">
      <c r="A354" t="str">
        <v>354行</v>
      </c>
      <c r="B354" t="str">
        <f ca="1"/>
        <v/>
      </c>
      <c r="C354" t="str">
        <f ca="1"/>
        <v>- O727：工程表Excelファイル_171（現在の内容：""）</v>
      </c>
    </row>
    <row r="355" spans="1:16">
      <c r="A355" t="str">
        <v>355行</v>
      </c>
      <c r="B355" t="str">
        <f ca="1"/>
        <v/>
      </c>
      <c r="C355" t="str">
        <f ca="1"/>
        <v>- O728：工程表Excelファイル_172（現在の内容：""）</v>
      </c>
    </row>
    <row r="356" spans="1:16">
      <c r="A356" t="str">
        <v>356行</v>
      </c>
      <c r="B356" t="str">
        <f ca="1"/>
        <v/>
      </c>
      <c r="C356" t="str">
        <f ca="1"/>
        <v>- O729：工程表Excelファイル_173（現在の内容：""）</v>
      </c>
    </row>
    <row r="357" spans="1:16">
      <c r="A357" t="str">
        <v>357行</v>
      </c>
      <c r="B357" t="str">
        <f ca="1"/>
        <v/>
      </c>
      <c r="C357" t="str">
        <f ca="1"/>
        <v>- O730：工程表Excelファイル_174（現在の内容：""）</v>
      </c>
    </row>
    <row r="358" spans="1:16">
      <c r="A358" t="str">
        <v>358行</v>
      </c>
      <c r="B358" t="str">
        <f ca="1"/>
        <v/>
      </c>
      <c r="C358" t="str">
        <f ca="1"/>
        <v>- O731：工程表Excelファイル_175（現在の内容：""）</v>
      </c>
    </row>
    <row r="359" spans="1:16">
      <c r="A359" t="str">
        <v>359行</v>
      </c>
      <c r="B359" t="str">
        <f ca="1"/>
        <v/>
      </c>
      <c r="C359" t="str">
        <f ca="1"/>
        <v>- O732：工程表Excelファイル_176（現在の内容：""）</v>
      </c>
    </row>
    <row r="360" spans="1:16">
      <c r="A360" t="str">
        <v>360行</v>
      </c>
      <c r="B360" t="str">
        <f ca="1"/>
        <v/>
      </c>
      <c r="C360" t="str">
        <f ca="1"/>
        <v>- O733：工程表Excelファイル_177（現在の内容：""）</v>
      </c>
    </row>
    <row r="361" spans="1:16">
      <c r="A361" t="str">
        <v>361行</v>
      </c>
      <c r="B361" t="str">
        <f ca="1"/>
        <v/>
      </c>
      <c r="C361" t="str">
        <f ca="1"/>
        <v>- O734：工程表Excelファイル_178（現在の内容：""）</v>
      </c>
    </row>
    <row r="362" spans="1:16">
      <c r="A362" t="str">
        <v>362行</v>
      </c>
      <c r="B362" t="str">
        <f ca="1"/>
        <v/>
      </c>
      <c r="C362" t="str">
        <f ca="1"/>
        <v>- O735：工程表Excelファイル_179（現在の内容：""）</v>
      </c>
    </row>
    <row r="363" spans="1:16">
      <c r="A363" t="str">
        <v>363行</v>
      </c>
      <c r="B363" t="str">
        <f ca="1"/>
        <v/>
      </c>
      <c r="C363" t="str">
        <f ca="1"/>
        <v>- O736：工程表Excelファイル_180（現在の内容：""）</v>
      </c>
    </row>
    <row r="364" spans="1:16">
      <c r="A364" t="str">
        <v>364行</v>
      </c>
      <c r="B364" t="str">
        <f ca="1"/>
        <v/>
      </c>
      <c r="C364" t="str">
        <f ca="1"/>
        <v>- O737：工程表Excelファイル_181（現在の内容：""）</v>
      </c>
    </row>
    <row r="365" spans="1:16">
      <c r="A365" t="str">
        <v>365行</v>
      </c>
      <c r="B365" t="str">
        <f ca="1"/>
        <v/>
      </c>
      <c r="C365" t="str">
        <f ca="1"/>
        <v>- O738：工程表Excelファイル_182（現在の内容：""）</v>
      </c>
    </row>
    <row r="366" spans="1:16">
      <c r="A366" t="str">
        <v>366行</v>
      </c>
      <c r="B366" t="str">
        <f ca="1"/>
        <v/>
      </c>
      <c r="C366" t="str">
        <f ca="1"/>
        <v>- O739：工程表Excelファイル_183（現在の内容：""）</v>
      </c>
    </row>
    <row r="367" spans="1:16">
      <c r="A367" t="str">
        <v>367行</v>
      </c>
      <c r="B367" t="str">
        <f ca="1"/>
        <v>- O367：分類2（現在の内容：""）</v>
      </c>
      <c r="C367" t="str">
        <f ca="1"/>
        <v>- O740：工程表Excelファイル_184（現在の内容：""）</v>
      </c>
      <c r="N367" t="s">
        <v>711</v>
      </c>
      <c r="O367" s="6"/>
      <c r="P367" t="s">
        <v>712</v>
      </c>
    </row>
    <row r="368" spans="1:16">
      <c r="A368" t="str">
        <v>368行</v>
      </c>
      <c r="B368" t="str">
        <f ca="1"/>
        <v/>
      </c>
      <c r="C368" t="str">
        <f ca="1"/>
        <v>- O741：工程表Excelファイル_185（現在の内容：""）</v>
      </c>
    </row>
    <row r="369" spans="1:3">
      <c r="A369" t="str">
        <v>369行</v>
      </c>
      <c r="B369" t="str">
        <f ca="1"/>
        <v/>
      </c>
      <c r="C369" t="str">
        <f ca="1"/>
        <v>- O742：工程表Excelファイル_186（現在の内容：""）</v>
      </c>
    </row>
    <row r="370" spans="1:3">
      <c r="A370" t="str">
        <v>370行</v>
      </c>
      <c r="B370" t="str">
        <f ca="1"/>
        <v/>
      </c>
      <c r="C370" t="str">
        <f ca="1"/>
        <v>- O743：工程表Excelファイル_187（現在の内容：""）</v>
      </c>
    </row>
    <row r="371" spans="1:3">
      <c r="A371" t="str">
        <v>371行</v>
      </c>
      <c r="B371" t="str">
        <f ca="1"/>
        <v/>
      </c>
      <c r="C371" t="str">
        <f ca="1"/>
        <v>- O744：工程表Excelファイル_188（現在の内容：""）</v>
      </c>
    </row>
    <row r="372" spans="1:3">
      <c r="A372" t="str">
        <v>372行</v>
      </c>
      <c r="B372" t="str">
        <f ca="1"/>
        <v/>
      </c>
      <c r="C372" t="str">
        <f ca="1"/>
        <v>- O745：工程表Excelファイル_189（現在の内容：""）</v>
      </c>
    </row>
    <row r="373" spans="1:3">
      <c r="A373" t="str">
        <v>373行</v>
      </c>
      <c r="B373" t="str">
        <f ca="1"/>
        <v/>
      </c>
      <c r="C373" t="str">
        <f ca="1"/>
        <v>- O746：工程表Excelファイル_190（現在の内容：""）</v>
      </c>
    </row>
    <row r="374" spans="1:3">
      <c r="A374" t="str">
        <v>374行</v>
      </c>
      <c r="B374" t="str">
        <f ca="1"/>
        <v/>
      </c>
      <c r="C374" t="str">
        <f ca="1"/>
        <v>- O747：工程表Excelファイル_191（現在の内容：""）</v>
      </c>
    </row>
    <row r="375" spans="1:3">
      <c r="A375" t="str">
        <v>375行</v>
      </c>
      <c r="B375" t="str">
        <f ca="1"/>
        <v/>
      </c>
      <c r="C375" t="str">
        <f ca="1"/>
        <v>- O748：工程表Excelファイル_192（現在の内容：""）</v>
      </c>
    </row>
    <row r="376" spans="1:3">
      <c r="A376" t="str">
        <v>376行</v>
      </c>
      <c r="B376" t="str">
        <f ca="1"/>
        <v/>
      </c>
      <c r="C376" t="str">
        <f ca="1"/>
        <v>- O749：工程表Excelファイル_193（現在の内容：""）</v>
      </c>
    </row>
    <row r="377" spans="1:3">
      <c r="A377" t="str">
        <v>377行</v>
      </c>
      <c r="B377" t="str">
        <f ca="1"/>
        <v/>
      </c>
      <c r="C377" t="str">
        <f ca="1"/>
        <v>- O750：工程表Excelファイル_194（現在の内容：""）</v>
      </c>
    </row>
    <row r="378" spans="1:3">
      <c r="A378" t="str">
        <v>378行</v>
      </c>
      <c r="B378" t="str">
        <f ca="1"/>
        <v/>
      </c>
      <c r="C378" t="str">
        <f ca="1"/>
        <v>- O751：工程表Excelファイル_195（現在の内容：""）</v>
      </c>
    </row>
    <row r="379" spans="1:3">
      <c r="A379" t="str">
        <v>379行</v>
      </c>
      <c r="B379" t="str">
        <f ca="1"/>
        <v/>
      </c>
      <c r="C379" t="str">
        <f ca="1"/>
        <v>- O752：工程表Excelファイル_196（現在の内容：""）</v>
      </c>
    </row>
    <row r="380" spans="1:3">
      <c r="A380" t="str">
        <v>380行</v>
      </c>
      <c r="B380" t="str">
        <f ca="1"/>
        <v/>
      </c>
      <c r="C380" t="str">
        <f ca="1"/>
        <v>- O753：工程表Excelファイル_197（現在の内容：""）</v>
      </c>
    </row>
    <row r="381" spans="1:3">
      <c r="A381" t="str">
        <v>381行</v>
      </c>
      <c r="B381" t="str">
        <f ca="1"/>
        <v/>
      </c>
      <c r="C381" t="str">
        <f ca="1"/>
        <v>- O754：工程表Excelファイル_198（現在の内容：""）</v>
      </c>
    </row>
    <row r="382" spans="1:3">
      <c r="A382" t="str">
        <v>382行</v>
      </c>
      <c r="B382" t="str">
        <f ca="1"/>
        <v/>
      </c>
      <c r="C382" t="str">
        <f ca="1"/>
        <v>- O755：工程表Excelファイル_199（現在の内容：""）</v>
      </c>
    </row>
    <row r="383" spans="1:3">
      <c r="A383" t="str">
        <v>383行</v>
      </c>
      <c r="B383" t="str">
        <f ca="1"/>
        <v/>
      </c>
      <c r="C383" t="str">
        <f ca="1"/>
        <v>- O756：工程表Excelファイル_200（現在の内容：""）</v>
      </c>
    </row>
    <row r="384" spans="1:3">
      <c r="A384" t="str">
        <v>384行</v>
      </c>
      <c r="B384" t="str">
        <f ca="1"/>
        <v/>
      </c>
      <c r="C384" t="str">
        <f ca="1"/>
        <v>- O777：抽出内容（ヘッダー最終行）（現在の内容：現工程表）</v>
      </c>
    </row>
    <row r="385" spans="1:16">
      <c r="A385" t="str">
        <v>385行</v>
      </c>
      <c r="B385" t="str">
        <f ca="1"/>
        <v/>
      </c>
      <c r="C385" t="str">
        <f ca="1"/>
        <v>- O778：工番（現在の内容：0,0）</v>
      </c>
    </row>
    <row r="386" spans="1:16">
      <c r="A386" t="str">
        <v>386行</v>
      </c>
      <c r="B386" t="str">
        <f ca="1"/>
        <v/>
      </c>
      <c r="C386" t="str">
        <f ca="1"/>
        <v>- O779：変電所（現在の内容：1,0）</v>
      </c>
    </row>
    <row r="387" spans="1:16">
      <c r="A387" t="str">
        <v>387行</v>
      </c>
      <c r="B387" t="str">
        <f ca="1"/>
        <v/>
      </c>
      <c r="C387" t="str">
        <f ca="1"/>
        <v>- O780：作業名1（現在の内容：2,0）</v>
      </c>
    </row>
    <row r="388" spans="1:16">
      <c r="A388" t="str">
        <v>388行</v>
      </c>
      <c r="B388" t="str">
        <f ca="1"/>
        <v>- O388：分類3（現在の内容：""）</v>
      </c>
      <c r="C388" t="str">
        <f ca="1"/>
        <v>- O781：作業名2(旧：制通部門)（現在の内容：3,0）</v>
      </c>
      <c r="N388" t="s">
        <v>713</v>
      </c>
      <c r="O388" s="6"/>
      <c r="P388" t="s">
        <v>712</v>
      </c>
    </row>
    <row r="389" spans="1:16">
      <c r="A389" t="str">
        <v>389行</v>
      </c>
      <c r="B389" t="str">
        <f ca="1"/>
        <v/>
      </c>
      <c r="C389" t="str">
        <f ca="1"/>
        <v>- O783：担当の名前（現在の内容：4,2）</v>
      </c>
    </row>
    <row r="390" spans="1:16">
      <c r="A390" t="str">
        <v>390行</v>
      </c>
      <c r="B390" t="str">
        <f ca="1"/>
        <v/>
      </c>
      <c r="C390" t="str">
        <f ca="1"/>
        <v>- O784：工事種類（旧：点検種類）（現在の内容：5,0）</v>
      </c>
    </row>
    <row r="391" spans="1:16">
      <c r="A391" t="str">
        <v>391行</v>
      </c>
      <c r="B391" t="str">
        <f ca="1"/>
        <v/>
      </c>
      <c r="C391" t="str">
        <f ca="1"/>
        <v>- O785：人数（現在の内容：5,2）</v>
      </c>
    </row>
    <row r="392" spans="1:16">
      <c r="A392" t="str">
        <v>392行</v>
      </c>
      <c r="B392" t="str">
        <f ca="1"/>
        <v/>
      </c>
      <c r="C392" t="str">
        <f ca="1"/>
        <v>- O786：作業員（現在の内容：6,0）</v>
      </c>
    </row>
    <row r="393" spans="1:16">
      <c r="A393" t="str">
        <v>393行</v>
      </c>
      <c r="B393" t="str">
        <f ca="1"/>
        <v/>
      </c>
      <c r="C393" t="str">
        <f ca="1"/>
        <v>- O811：ヘッダー行数（現在の内容：2）</v>
      </c>
    </row>
    <row r="394" spans="1:16">
      <c r="A394" t="str">
        <v>394行</v>
      </c>
      <c r="B394" t="str">
        <f ca="1"/>
        <v/>
      </c>
      <c r="C394" t="str">
        <f ca="1"/>
        <v>- O812：ヘッダー行_1（現在の内容：工程表から抽出　2025/05/29 (木) 15:24:33）</v>
      </c>
    </row>
    <row r="395" spans="1:16">
      <c r="A395" t="str">
        <v>395行</v>
      </c>
      <c r="B395" t="str">
        <f ca="1"/>
        <v/>
      </c>
      <c r="C395" t="str">
        <f ca="1"/>
        <v>- O813：ヘッダー行_2（現在の内容：工番	変電所	作業名1	作業名2(旧：制通部門)	担当の名前	工事種類（旧：点検種類）	人数	作業員）</v>
      </c>
    </row>
    <row r="396" spans="1:16">
      <c r="A396" t="str">
        <v>396行</v>
      </c>
      <c r="B396" t="str">
        <f ca="1"/>
        <v/>
      </c>
      <c r="C396" t="str">
        <f ca="1"/>
        <v>- O814：ヘッダー行_3（現在の内容：""）</v>
      </c>
    </row>
    <row r="397" spans="1:16">
      <c r="A397" t="str">
        <v>397行</v>
      </c>
      <c r="B397" t="str">
        <f ca="1"/>
        <v/>
      </c>
      <c r="C397" t="str">
        <f ca="1"/>
        <v>- O815：ヘッダー行_4（現在の内容：""）</v>
      </c>
    </row>
    <row r="398" spans="1:16">
      <c r="A398" t="str">
        <v>398行</v>
      </c>
      <c r="B398" t="str">
        <f ca="1"/>
        <v/>
      </c>
      <c r="C398" t="str">
        <f ca="1"/>
        <v>- O816：ヘッダー行_5（現在の内容：""）</v>
      </c>
    </row>
    <row r="399" spans="1:16">
      <c r="A399" t="str">
        <v>399行</v>
      </c>
      <c r="B399" t="str">
        <f ca="1"/>
        <v/>
      </c>
      <c r="C399" t="str">
        <f ca="1"/>
        <v>- O817：ヘッダー行_6（現在の内容：""）</v>
      </c>
    </row>
    <row r="400" spans="1:16">
      <c r="A400" t="str">
        <v>400行</v>
      </c>
      <c r="B400" t="str">
        <f ca="1"/>
        <v/>
      </c>
      <c r="C400" t="str">
        <f ca="1"/>
        <v>- O818：ヘッダー行_7（現在の内容：""）</v>
      </c>
    </row>
    <row r="401" spans="1:16">
      <c r="A401" t="str">
        <v>401行</v>
      </c>
      <c r="B401" t="str">
        <f ca="1"/>
        <v/>
      </c>
      <c r="C401" t="str">
        <f ca="1"/>
        <v>- O819：ヘッダー行_8（現在の内容：""）</v>
      </c>
    </row>
    <row r="402" spans="1:16">
      <c r="A402" t="str">
        <v>402行</v>
      </c>
      <c r="B402" t="str">
        <f ca="1"/>
        <v/>
      </c>
      <c r="C402" t="str">
        <f ca="1"/>
        <v>- O820：ヘッダー行_9（現在の内容：""）</v>
      </c>
    </row>
    <row r="403" spans="1:16">
      <c r="A403" t="str">
        <v>403行</v>
      </c>
      <c r="B403" t="str">
        <f ca="1"/>
        <v/>
      </c>
      <c r="C403" t="str">
        <f ca="1"/>
        <v>- O821：ヘッダー行_10（現在の内容：""）</v>
      </c>
    </row>
    <row r="404" spans="1:16">
      <c r="A404" t="str">
        <v>404行</v>
      </c>
      <c r="B404" t="str">
        <f ca="1"/>
        <v/>
      </c>
    </row>
    <row r="405" spans="1:16">
      <c r="A405" t="str">
        <v>405行</v>
      </c>
      <c r="B405" t="str">
        <f ca="1"/>
        <v/>
      </c>
    </row>
    <row r="406" spans="1:16">
      <c r="A406" t="str">
        <v>406行</v>
      </c>
      <c r="B406" t="str">
        <f ca="1"/>
        <v/>
      </c>
    </row>
    <row r="407" spans="1:16">
      <c r="A407" t="str">
        <v>407行</v>
      </c>
      <c r="B407" t="str">
        <f ca="1"/>
        <v/>
      </c>
    </row>
    <row r="408" spans="1:16">
      <c r="A408" t="str">
        <v>408行</v>
      </c>
      <c r="B408" t="str">
        <f ca="1"/>
        <v/>
      </c>
    </row>
    <row r="409" spans="1:16">
      <c r="A409" t="str">
        <v>409行</v>
      </c>
      <c r="B409" t="str">
        <f ca="1"/>
        <v>- O409：工事種類_1（現在の内容：""）</v>
      </c>
      <c r="M409" s="15" t="s">
        <v>714</v>
      </c>
      <c r="N409" s="16" t="s">
        <v>715</v>
      </c>
      <c r="O409" s="6"/>
      <c r="P409" t="s">
        <v>716</v>
      </c>
    </row>
    <row r="410" spans="1:16">
      <c r="A410" t="str">
        <v>410行</v>
      </c>
      <c r="B410" t="str">
        <f ca="1"/>
        <v>- O410：工事種類_2（現在の内容：""）</v>
      </c>
      <c r="N410" s="16" t="s">
        <v>717</v>
      </c>
      <c r="O410" s="6"/>
    </row>
    <row r="411" spans="1:16">
      <c r="A411" t="str">
        <v>411行</v>
      </c>
      <c r="B411" t="str">
        <f ca="1"/>
        <v>- O411：工事種類_3（現在の内容：""）</v>
      </c>
      <c r="N411" s="16" t="s">
        <v>718</v>
      </c>
      <c r="O411" s="6"/>
    </row>
    <row r="412" spans="1:16">
      <c r="A412" t="str">
        <v>412行</v>
      </c>
      <c r="B412" t="str">
        <f ca="1"/>
        <v>- O412：工事種類_4（現在の内容：""）</v>
      </c>
      <c r="N412" s="16" t="s">
        <v>719</v>
      </c>
      <c r="O412" s="6"/>
    </row>
    <row r="413" spans="1:16">
      <c r="A413" t="str">
        <v>413行</v>
      </c>
      <c r="B413" t="str">
        <f ca="1"/>
        <v>- O413：工事種類_5（現在の内容：""）</v>
      </c>
      <c r="N413" s="16" t="s">
        <v>720</v>
      </c>
      <c r="O413" s="6"/>
    </row>
    <row r="414" spans="1:16">
      <c r="A414" t="str">
        <v>414行</v>
      </c>
      <c r="B414" t="str">
        <f ca="1"/>
        <v>- O414：工事種類_6（現在の内容：""）</v>
      </c>
      <c r="N414" s="16" t="s">
        <v>721</v>
      </c>
      <c r="O414" s="6"/>
    </row>
    <row r="415" spans="1:16">
      <c r="A415" t="str">
        <v>415行</v>
      </c>
      <c r="B415" t="str">
        <f ca="1"/>
        <v>- O415：工事種類_7（現在の内容：""）</v>
      </c>
      <c r="N415" s="16" t="s">
        <v>722</v>
      </c>
      <c r="O415" s="6"/>
    </row>
    <row r="416" spans="1:16">
      <c r="A416" t="str">
        <v>416行</v>
      </c>
      <c r="B416" t="str">
        <f ca="1"/>
        <v>- O416：工事種類_8（現在の内容：""）</v>
      </c>
      <c r="N416" s="16" t="s">
        <v>723</v>
      </c>
      <c r="O416" s="6"/>
    </row>
    <row r="417" spans="1:17">
      <c r="A417" t="str">
        <v>417行</v>
      </c>
      <c r="B417" t="str">
        <f ca="1"/>
        <v>- O417：工事種類_9（現在の内容：""）</v>
      </c>
      <c r="N417" s="16" t="s">
        <v>724</v>
      </c>
      <c r="O417" s="6"/>
    </row>
    <row r="418" spans="1:17">
      <c r="A418" t="str">
        <v>418行</v>
      </c>
      <c r="B418" t="str">
        <f ca="1"/>
        <v>- O418：工事種類_10（現在の内容：""）</v>
      </c>
      <c r="N418" s="16" t="s">
        <v>725</v>
      </c>
      <c r="O418" s="6"/>
    </row>
    <row r="419" spans="1:17">
      <c r="A419" t="str">
        <v>419行</v>
      </c>
      <c r="B419" t="str">
        <f ca="1"/>
        <v/>
      </c>
    </row>
    <row r="420" spans="1:17">
      <c r="A420" t="str">
        <v>420行</v>
      </c>
      <c r="B420" t="str">
        <f ca="1"/>
        <v/>
      </c>
    </row>
    <row r="421" spans="1:17">
      <c r="A421" t="str">
        <v>421行</v>
      </c>
      <c r="B421" t="str">
        <f ca="1"/>
        <v/>
      </c>
    </row>
    <row r="422" spans="1:17">
      <c r="A422" t="str">
        <v>422行</v>
      </c>
      <c r="B422" t="str">
        <f ca="1"/>
        <v/>
      </c>
    </row>
    <row r="423" spans="1:17">
      <c r="A423" t="str">
        <v>423行</v>
      </c>
      <c r="B423" t="str">
        <f ca="1"/>
        <v/>
      </c>
    </row>
    <row r="424" spans="1:17">
      <c r="A424" t="str">
        <v>424行</v>
      </c>
      <c r="B424" t="str">
        <f ca="1"/>
        <v/>
      </c>
    </row>
    <row r="425" spans="1:17">
      <c r="A425" t="str">
        <v>425行</v>
      </c>
      <c r="B425" t="str">
        <f ca="1"/>
        <v/>
      </c>
    </row>
    <row r="426" spans="1:17">
      <c r="A426" t="str">
        <v>426行</v>
      </c>
      <c r="B426" t="str">
        <f ca="1"/>
        <v/>
      </c>
    </row>
    <row r="427" spans="1:17">
      <c r="A427" t="str">
        <v>427行</v>
      </c>
      <c r="B427" t="str">
        <f ca="1"/>
        <v/>
      </c>
    </row>
    <row r="428" spans="1:17">
      <c r="A428" t="str">
        <v>428行</v>
      </c>
      <c r="B428" t="str">
        <f ca="1"/>
        <v/>
      </c>
    </row>
    <row r="429" spans="1:17">
      <c r="A429" t="str">
        <v>429行</v>
      </c>
      <c r="B429" t="str">
        <f ca="1"/>
        <v/>
      </c>
    </row>
    <row r="430" spans="1:17">
      <c r="A430" t="str">
        <v>430行</v>
      </c>
      <c r="B430" t="str">
        <f ca="1"/>
        <v/>
      </c>
    </row>
    <row r="431" spans="1:17">
      <c r="A431" t="str">
        <v>431行</v>
      </c>
      <c r="B431" t="str">
        <f ca="1"/>
        <v>- O431：工番_1（現在の内容：""）</v>
      </c>
      <c r="M431" t="s">
        <v>151</v>
      </c>
      <c r="N431" t="s">
        <v>726</v>
      </c>
      <c r="O431" s="6"/>
      <c r="P431" t="s">
        <v>727</v>
      </c>
      <c r="Q431" t="s">
        <v>728</v>
      </c>
    </row>
    <row r="432" spans="1:17">
      <c r="A432" t="str">
        <v>432行</v>
      </c>
      <c r="B432" t="str">
        <f ca="1"/>
        <v>- O432：工番_2（現在の内容：""）</v>
      </c>
      <c r="N432" t="s">
        <v>729</v>
      </c>
      <c r="O432" s="6"/>
    </row>
    <row r="433" spans="1:15">
      <c r="A433" t="str">
        <v>433行</v>
      </c>
      <c r="B433" t="str">
        <f ca="1"/>
        <v>- O433：工番_3（現在の内容：""）</v>
      </c>
      <c r="N433" t="s">
        <v>730</v>
      </c>
      <c r="O433" s="6"/>
    </row>
    <row r="434" spans="1:15">
      <c r="A434" t="str">
        <v>434行</v>
      </c>
      <c r="B434" t="str">
        <f ca="1"/>
        <v>- O434：工番_4（現在の内容：""）</v>
      </c>
      <c r="N434" t="s">
        <v>731</v>
      </c>
      <c r="O434" s="6"/>
    </row>
    <row r="435" spans="1:15">
      <c r="A435" t="str">
        <v>435行</v>
      </c>
      <c r="B435" t="str">
        <f ca="1"/>
        <v>- O435：工番_5（現在の内容：""）</v>
      </c>
      <c r="N435" t="s">
        <v>732</v>
      </c>
      <c r="O435" s="6"/>
    </row>
    <row r="436" spans="1:15">
      <c r="A436" t="str">
        <v>436行</v>
      </c>
      <c r="B436" t="str">
        <f ca="1"/>
        <v>- O436：工番_6（現在の内容：""）</v>
      </c>
      <c r="N436" t="s">
        <v>733</v>
      </c>
      <c r="O436" s="6"/>
    </row>
    <row r="437" spans="1:15">
      <c r="A437" t="str">
        <v>437行</v>
      </c>
      <c r="B437" t="str">
        <f ca="1"/>
        <v>- O437：工番_7（現在の内容：""）</v>
      </c>
      <c r="N437" t="s">
        <v>734</v>
      </c>
      <c r="O437" s="6"/>
    </row>
    <row r="438" spans="1:15">
      <c r="A438" t="str">
        <v>438行</v>
      </c>
      <c r="B438" t="str">
        <f ca="1"/>
        <v>- O438：工番_8（現在の内容：""）</v>
      </c>
      <c r="N438" t="s">
        <v>735</v>
      </c>
      <c r="O438" s="6"/>
    </row>
    <row r="439" spans="1:15">
      <c r="A439" t="str">
        <v>439行</v>
      </c>
      <c r="B439" t="str">
        <f ca="1"/>
        <v>- O439：工番_9（現在の内容：""）</v>
      </c>
      <c r="N439" t="s">
        <v>736</v>
      </c>
      <c r="O439" s="6"/>
    </row>
    <row r="440" spans="1:15">
      <c r="A440" t="str">
        <v>440行</v>
      </c>
      <c r="B440" t="str">
        <f ca="1"/>
        <v>- O440：工番_10（現在の内容：""）</v>
      </c>
      <c r="N440" t="s">
        <v>737</v>
      </c>
      <c r="O440" s="6"/>
    </row>
    <row r="441" spans="1:15">
      <c r="A441" t="str">
        <v>441行</v>
      </c>
      <c r="B441" t="str">
        <f ca="1"/>
        <v/>
      </c>
    </row>
    <row r="442" spans="1:15">
      <c r="A442" t="str">
        <v>442行</v>
      </c>
      <c r="B442" t="str">
        <f ca="1"/>
        <v/>
      </c>
    </row>
    <row r="443" spans="1:15">
      <c r="A443" t="str">
        <v>443行</v>
      </c>
      <c r="B443" t="str">
        <f ca="1"/>
        <v/>
      </c>
    </row>
    <row r="444" spans="1:15">
      <c r="A444" t="str">
        <v>444行</v>
      </c>
      <c r="B444" t="str">
        <f ca="1"/>
        <v/>
      </c>
    </row>
    <row r="445" spans="1:15">
      <c r="A445" t="str">
        <v>445行</v>
      </c>
      <c r="B445" t="str">
        <f ca="1"/>
        <v/>
      </c>
    </row>
    <row r="446" spans="1:15">
      <c r="A446" t="str">
        <v>446行</v>
      </c>
      <c r="B446" t="str">
        <f ca="1"/>
        <v/>
      </c>
    </row>
    <row r="447" spans="1:15">
      <c r="A447" t="str">
        <v>447行</v>
      </c>
      <c r="B447" t="str">
        <f ca="1"/>
        <v/>
      </c>
    </row>
    <row r="448" spans="1:15">
      <c r="A448" t="str">
        <v>448行</v>
      </c>
      <c r="B448" t="str">
        <f ca="1"/>
        <v/>
      </c>
    </row>
    <row r="449" spans="1:17">
      <c r="A449" t="str">
        <v>449行</v>
      </c>
      <c r="B449" t="str">
        <f ca="1"/>
        <v/>
      </c>
    </row>
    <row r="450" spans="1:17">
      <c r="A450" t="str">
        <v>450行</v>
      </c>
      <c r="B450" t="str">
        <f ca="1"/>
        <v/>
      </c>
    </row>
    <row r="451" spans="1:17">
      <c r="A451" t="str">
        <v>451行</v>
      </c>
      <c r="B451" t="str">
        <f ca="1"/>
        <v>- O451：作業種類_1（現在の内容：""）</v>
      </c>
      <c r="M451" t="s">
        <v>738</v>
      </c>
      <c r="N451" s="17" t="s">
        <v>739</v>
      </c>
      <c r="O451" s="6"/>
      <c r="P451" t="s">
        <v>740</v>
      </c>
      <c r="Q451" t="s">
        <v>741</v>
      </c>
    </row>
    <row r="452" spans="1:17">
      <c r="A452" t="str">
        <v>452行</v>
      </c>
      <c r="B452" t="str">
        <f ca="1"/>
        <v>- O452：作業種類_2（現在の内容：""）</v>
      </c>
      <c r="N452" s="17" t="s">
        <v>742</v>
      </c>
      <c r="O452" s="6"/>
      <c r="P452" t="s">
        <v>743</v>
      </c>
    </row>
    <row r="453" spans="1:17">
      <c r="A453" t="str">
        <v>453行</v>
      </c>
      <c r="B453" t="str">
        <f ca="1"/>
        <v>- O453：作業種類_3（現在の内容：""）</v>
      </c>
      <c r="N453" s="17" t="s">
        <v>744</v>
      </c>
      <c r="O453" s="6"/>
      <c r="P453" t="s">
        <v>745</v>
      </c>
    </row>
    <row r="454" spans="1:17">
      <c r="A454" t="str">
        <v>454行</v>
      </c>
      <c r="B454" t="str">
        <f ca="1"/>
        <v>- O454：作業種類_4（現在の内容：""）</v>
      </c>
      <c r="N454" s="17" t="s">
        <v>746</v>
      </c>
      <c r="O454" s="6"/>
    </row>
    <row r="455" spans="1:17">
      <c r="A455" t="str">
        <v>455行</v>
      </c>
      <c r="B455" t="str">
        <f ca="1"/>
        <v>- O455：作業種類_5（現在の内容：""）</v>
      </c>
      <c r="N455" s="17" t="s">
        <v>747</v>
      </c>
      <c r="O455" s="6"/>
    </row>
    <row r="456" spans="1:17">
      <c r="A456" t="str">
        <v>456行</v>
      </c>
      <c r="B456" t="str">
        <f ca="1"/>
        <v>- O456：作業種類_6（現在の内容：""）</v>
      </c>
      <c r="N456" s="17" t="s">
        <v>748</v>
      </c>
      <c r="O456" s="6"/>
    </row>
    <row r="457" spans="1:17">
      <c r="A457" t="str">
        <v>457行</v>
      </c>
      <c r="B457" t="str">
        <f ca="1"/>
        <v>- O457：作業種類_7（現在の内容：""）</v>
      </c>
      <c r="N457" s="17" t="s">
        <v>749</v>
      </c>
      <c r="O457" s="6"/>
    </row>
    <row r="458" spans="1:17">
      <c r="A458" t="str">
        <v>458行</v>
      </c>
      <c r="B458" t="str">
        <f ca="1"/>
        <v>- O458：作業種類_8（現在の内容：""）</v>
      </c>
      <c r="N458" s="17" t="s">
        <v>750</v>
      </c>
      <c r="O458" s="6"/>
    </row>
    <row r="459" spans="1:17">
      <c r="A459" t="str">
        <v>459行</v>
      </c>
      <c r="B459" t="str">
        <f ca="1"/>
        <v>- O459：作業種類_9（現在の内容：""）</v>
      </c>
      <c r="N459" s="17" t="s">
        <v>751</v>
      </c>
      <c r="O459" s="6"/>
    </row>
    <row r="460" spans="1:17">
      <c r="A460" t="str">
        <v>460行</v>
      </c>
      <c r="B460" t="str">
        <f ca="1"/>
        <v>- O460：作業種類_10（現在の内容：""）</v>
      </c>
      <c r="N460" s="17" t="s">
        <v>752</v>
      </c>
      <c r="O460" s="6"/>
    </row>
    <row r="461" spans="1:17">
      <c r="A461" t="str">
        <v>461行</v>
      </c>
      <c r="B461" t="str">
        <f ca="1"/>
        <v>- O461：作業種類_11（現在の内容：""）</v>
      </c>
      <c r="N461" s="17" t="s">
        <v>753</v>
      </c>
      <c r="O461" s="6"/>
    </row>
    <row r="462" spans="1:17">
      <c r="A462" t="str">
        <v>462行</v>
      </c>
      <c r="B462" t="str">
        <f ca="1"/>
        <v>- O462：作業種類_12（現在の内容：""）</v>
      </c>
      <c r="N462" s="17" t="s">
        <v>754</v>
      </c>
      <c r="O462" s="6"/>
    </row>
    <row r="463" spans="1:17">
      <c r="A463" t="str">
        <v>463行</v>
      </c>
      <c r="B463" t="str">
        <f ca="1"/>
        <v>- O463：作業種類_13（現在の内容：""）</v>
      </c>
      <c r="N463" s="17" t="s">
        <v>755</v>
      </c>
      <c r="O463" s="6"/>
    </row>
    <row r="464" spans="1:17">
      <c r="A464" t="str">
        <v>464行</v>
      </c>
      <c r="B464" t="str">
        <f ca="1"/>
        <v>- O464：作業種類_14（現在の内容：""）</v>
      </c>
      <c r="N464" s="17" t="s">
        <v>756</v>
      </c>
      <c r="O464" s="6"/>
    </row>
    <row r="465" spans="1:15">
      <c r="A465" t="str">
        <v>465行</v>
      </c>
      <c r="B465" t="str">
        <f ca="1"/>
        <v>- O465：作業種類_15（現在の内容：""）</v>
      </c>
      <c r="N465" s="17" t="s">
        <v>757</v>
      </c>
      <c r="O465" s="6"/>
    </row>
    <row r="466" spans="1:15">
      <c r="A466" t="str">
        <v>466行</v>
      </c>
      <c r="B466" t="str">
        <f ca="1"/>
        <v>- O466：作業種類_16（現在の内容：""）</v>
      </c>
      <c r="N466" s="17" t="s">
        <v>758</v>
      </c>
      <c r="O466" s="6"/>
    </row>
    <row r="467" spans="1:15">
      <c r="A467" t="str">
        <v>467行</v>
      </c>
      <c r="B467" t="str">
        <f ca="1"/>
        <v>- O467：作業種類_17（現在の内容：""）</v>
      </c>
      <c r="N467" s="17" t="s">
        <v>759</v>
      </c>
      <c r="O467" s="6"/>
    </row>
    <row r="468" spans="1:15">
      <c r="A468" t="str">
        <v>468行</v>
      </c>
      <c r="B468" t="str">
        <f ca="1"/>
        <v>- O468：作業種類_18（現在の内容：""）</v>
      </c>
      <c r="N468" s="17" t="s">
        <v>760</v>
      </c>
      <c r="O468" s="6"/>
    </row>
    <row r="469" spans="1:15">
      <c r="A469" t="str">
        <v>469行</v>
      </c>
      <c r="B469" t="str">
        <f ca="1"/>
        <v>- O469：作業種類_19（現在の内容：""）</v>
      </c>
      <c r="N469" s="17" t="s">
        <v>761</v>
      </c>
      <c r="O469" s="6"/>
    </row>
    <row r="470" spans="1:15">
      <c r="A470" t="str">
        <v>470行</v>
      </c>
      <c r="B470" t="str">
        <f ca="1"/>
        <v>- O470：作業種類_20（現在の内容：""）</v>
      </c>
      <c r="N470" s="17" t="s">
        <v>762</v>
      </c>
      <c r="O470" s="6"/>
    </row>
    <row r="471" spans="1:15">
      <c r="A471" t="str">
        <v>471行</v>
      </c>
      <c r="B471" t="str">
        <f ca="1"/>
        <v/>
      </c>
    </row>
    <row r="472" spans="1:15">
      <c r="A472" t="str">
        <v>472行</v>
      </c>
      <c r="B472" t="str">
        <f ca="1"/>
        <v/>
      </c>
    </row>
    <row r="473" spans="1:15">
      <c r="A473" t="str">
        <v>473行</v>
      </c>
      <c r="B473" t="str">
        <f ca="1"/>
        <v/>
      </c>
    </row>
    <row r="474" spans="1:15">
      <c r="A474" t="str">
        <v>474行</v>
      </c>
      <c r="B474" t="str">
        <f ca="1"/>
        <v/>
      </c>
    </row>
    <row r="475" spans="1:15">
      <c r="A475" t="str">
        <v>475行</v>
      </c>
      <c r="B475" t="str">
        <f ca="1"/>
        <v/>
      </c>
    </row>
    <row r="476" spans="1:15">
      <c r="A476" t="str">
        <v>476行</v>
      </c>
      <c r="B476" t="str">
        <f ca="1"/>
        <v/>
      </c>
    </row>
    <row r="477" spans="1:15">
      <c r="A477" t="str">
        <v>477行</v>
      </c>
      <c r="B477" t="str">
        <f ca="1"/>
        <v/>
      </c>
    </row>
    <row r="478" spans="1:15">
      <c r="A478" t="str">
        <v>478行</v>
      </c>
      <c r="B478" t="str">
        <f ca="1"/>
        <v/>
      </c>
    </row>
    <row r="479" spans="1:15">
      <c r="A479" t="str">
        <v>479行</v>
      </c>
      <c r="B479" t="str">
        <f ca="1"/>
        <v/>
      </c>
    </row>
    <row r="480" spans="1:15">
      <c r="A480" t="str">
        <v>480行</v>
      </c>
      <c r="B480" t="str">
        <f ca="1"/>
        <v/>
      </c>
    </row>
    <row r="481" spans="1:15">
      <c r="A481" t="str">
        <v>481行</v>
      </c>
      <c r="B481" t="str">
        <f ca="1"/>
        <v>- O481：担当の名前_1（現在の内容：""）</v>
      </c>
      <c r="N481" t="s">
        <v>1120</v>
      </c>
      <c r="O481" s="6"/>
    </row>
    <row r="482" spans="1:15">
      <c r="A482" t="str">
        <v>482行</v>
      </c>
      <c r="B482" t="str">
        <f ca="1"/>
        <v>- O482：担当の名前_2（現在の内容：""）</v>
      </c>
      <c r="N482" t="s">
        <v>1121</v>
      </c>
      <c r="O482" s="6"/>
    </row>
    <row r="483" spans="1:15">
      <c r="A483" t="str">
        <v>483行</v>
      </c>
      <c r="B483" t="str">
        <f ca="1"/>
        <v>- O483：担当の名前_3（現在の内容：""）</v>
      </c>
      <c r="N483" t="s">
        <v>1122</v>
      </c>
      <c r="O483" s="6"/>
    </row>
    <row r="484" spans="1:15">
      <c r="A484" t="str">
        <v>484行</v>
      </c>
      <c r="B484" t="str">
        <f ca="1"/>
        <v>- O484：担当の名前_4（現在の内容：""）</v>
      </c>
      <c r="N484" t="s">
        <v>1123</v>
      </c>
      <c r="O484" s="6"/>
    </row>
    <row r="485" spans="1:15">
      <c r="A485" t="str">
        <v>485行</v>
      </c>
      <c r="B485" t="str">
        <f ca="1"/>
        <v>- O485：担当の名前_5（現在の内容：""）</v>
      </c>
      <c r="N485" t="s">
        <v>1124</v>
      </c>
      <c r="O485" s="6"/>
    </row>
    <row r="486" spans="1:15">
      <c r="A486" t="str">
        <v>486行</v>
      </c>
      <c r="B486" t="str">
        <f ca="1"/>
        <v>- O486：担当の名前_6（現在の内容：""）</v>
      </c>
      <c r="N486" t="s">
        <v>1125</v>
      </c>
      <c r="O486" s="6"/>
    </row>
    <row r="487" spans="1:15">
      <c r="A487" t="str">
        <v>487行</v>
      </c>
      <c r="B487" t="str">
        <f ca="1"/>
        <v>- O487：担当の名前_7（現在の内容：""）</v>
      </c>
      <c r="N487" t="s">
        <v>1126</v>
      </c>
      <c r="O487" s="6"/>
    </row>
    <row r="488" spans="1:15">
      <c r="A488" t="str">
        <v>488行</v>
      </c>
      <c r="B488" t="str">
        <f ca="1"/>
        <v>- O488：担当の名前_8（現在の内容：""）</v>
      </c>
      <c r="N488" t="s">
        <v>1127</v>
      </c>
      <c r="O488" s="6"/>
    </row>
    <row r="489" spans="1:15">
      <c r="A489" t="str">
        <v>489行</v>
      </c>
      <c r="B489" t="str">
        <f ca="1"/>
        <v>- O489：担当の名前_9（現在の内容：""）</v>
      </c>
      <c r="N489" t="s">
        <v>1128</v>
      </c>
      <c r="O489" s="6"/>
    </row>
    <row r="490" spans="1:15">
      <c r="A490" t="str">
        <v>490行</v>
      </c>
      <c r="B490" t="str">
        <f ca="1"/>
        <v>- O490：担当の名前_10（現在の内容：""）</v>
      </c>
      <c r="N490" t="s">
        <v>1129</v>
      </c>
      <c r="O490" s="6"/>
    </row>
    <row r="491" spans="1:15">
      <c r="A491" t="str">
        <v>491行</v>
      </c>
      <c r="B491" t="str">
        <f ca="1"/>
        <v/>
      </c>
    </row>
    <row r="492" spans="1:15">
      <c r="A492" t="str">
        <v>492行</v>
      </c>
      <c r="B492" t="str">
        <f ca="1"/>
        <v/>
      </c>
    </row>
    <row r="493" spans="1:15">
      <c r="A493" t="str">
        <v>493行</v>
      </c>
      <c r="B493" t="str">
        <f ca="1"/>
        <v/>
      </c>
    </row>
    <row r="494" spans="1:15">
      <c r="A494" t="str">
        <v>494行</v>
      </c>
      <c r="B494" t="str">
        <f ca="1"/>
        <v/>
      </c>
    </row>
    <row r="495" spans="1:15">
      <c r="A495" t="str">
        <v>495行</v>
      </c>
      <c r="B495" t="str">
        <f ca="1"/>
        <v/>
      </c>
    </row>
    <row r="496" spans="1:15">
      <c r="A496" t="str">
        <v>496行</v>
      </c>
      <c r="B496" t="str">
        <f ca="1"/>
        <v/>
      </c>
    </row>
    <row r="497" spans="1:15">
      <c r="A497" t="str">
        <v>497行</v>
      </c>
      <c r="B497" t="str">
        <f ca="1"/>
        <v/>
      </c>
    </row>
    <row r="498" spans="1:15">
      <c r="A498" t="str">
        <v>498行</v>
      </c>
      <c r="B498" t="str">
        <f ca="1"/>
        <v/>
      </c>
    </row>
    <row r="499" spans="1:15">
      <c r="A499" t="str">
        <v>499行</v>
      </c>
      <c r="B499" t="str">
        <f ca="1"/>
        <v/>
      </c>
    </row>
    <row r="500" spans="1:15">
      <c r="A500" t="str">
        <v>500行</v>
      </c>
      <c r="B500" t="str">
        <f ca="1"/>
        <v/>
      </c>
    </row>
    <row r="501" spans="1:15">
      <c r="A501" t="str">
        <v>501行</v>
      </c>
      <c r="B501" t="str">
        <f ca="1"/>
        <v/>
      </c>
    </row>
    <row r="502" spans="1:15">
      <c r="A502" t="str">
        <v>502行</v>
      </c>
      <c r="B502" t="str">
        <f ca="1"/>
        <v/>
      </c>
    </row>
    <row r="503" spans="1:15">
      <c r="A503" t="str">
        <v>503行</v>
      </c>
      <c r="B503" t="str">
        <f ca="1"/>
        <v>- O503：人数（現在の内容：""）</v>
      </c>
      <c r="N503" t="s">
        <v>764</v>
      </c>
      <c r="O503" s="6"/>
    </row>
    <row r="504" spans="1:15">
      <c r="A504" t="str">
        <v>504行</v>
      </c>
      <c r="B504" t="str">
        <f ca="1"/>
        <v/>
      </c>
    </row>
    <row r="505" spans="1:15">
      <c r="A505" t="str">
        <v>505行</v>
      </c>
      <c r="B505" t="str">
        <f ca="1"/>
        <v/>
      </c>
    </row>
    <row r="506" spans="1:15">
      <c r="A506" t="str">
        <v>506行</v>
      </c>
      <c r="B506" t="str">
        <f ca="1"/>
        <v/>
      </c>
    </row>
    <row r="507" spans="1:15">
      <c r="A507" t="str">
        <v>507行</v>
      </c>
      <c r="B507" t="str">
        <f ca="1"/>
        <v/>
      </c>
    </row>
    <row r="508" spans="1:15">
      <c r="A508" t="str">
        <v>508行</v>
      </c>
      <c r="B508" t="str">
        <f ca="1"/>
        <v/>
      </c>
    </row>
    <row r="509" spans="1:15">
      <c r="A509" t="str">
        <v>509行</v>
      </c>
      <c r="B509" t="str">
        <f ca="1"/>
        <v/>
      </c>
    </row>
    <row r="510" spans="1:15">
      <c r="A510" t="str">
        <v>510行</v>
      </c>
      <c r="B510" t="str">
        <f ca="1"/>
        <v/>
      </c>
    </row>
    <row r="511" spans="1:15">
      <c r="A511" t="str">
        <v>511行</v>
      </c>
      <c r="B511" t="str">
        <f ca="1"/>
        <v/>
      </c>
    </row>
    <row r="512" spans="1:15">
      <c r="A512" t="str">
        <v>512行</v>
      </c>
      <c r="B512" t="str">
        <f ca="1"/>
        <v/>
      </c>
    </row>
    <row r="513" spans="1:18">
      <c r="A513" t="str">
        <v>513行</v>
      </c>
      <c r="B513" t="str">
        <f ca="1"/>
        <v/>
      </c>
    </row>
    <row r="514" spans="1:18">
      <c r="A514" t="str">
        <v>514行</v>
      </c>
      <c r="B514" t="str">
        <f ca="1"/>
        <v>- O514：作業箇所の種類（現在の内容：""）</v>
      </c>
      <c r="N514" t="s">
        <v>765</v>
      </c>
      <c r="O514" s="6"/>
      <c r="P514" t="s">
        <v>766</v>
      </c>
    </row>
    <row r="515" spans="1:18">
      <c r="A515" t="str">
        <v>515行</v>
      </c>
      <c r="B515" t="str">
        <f ca="1"/>
        <v/>
      </c>
    </row>
    <row r="516" spans="1:18">
      <c r="A516" t="str">
        <v>516行</v>
      </c>
      <c r="B516" t="str">
        <f ca="1"/>
        <v/>
      </c>
    </row>
    <row r="517" spans="1:18">
      <c r="A517" t="str">
        <v>517行</v>
      </c>
      <c r="B517" t="str">
        <f ca="1"/>
        <v/>
      </c>
    </row>
    <row r="518" spans="1:18">
      <c r="A518" t="str">
        <v>518行</v>
      </c>
      <c r="B518" t="str">
        <f ca="1"/>
        <v/>
      </c>
    </row>
    <row r="519" spans="1:18">
      <c r="A519" t="str">
        <v>519行</v>
      </c>
      <c r="B519" t="str">
        <f ca="1"/>
        <v/>
      </c>
    </row>
    <row r="520" spans="1:18">
      <c r="A520" t="str">
        <v>520行</v>
      </c>
      <c r="B520" t="str">
        <f ca="1"/>
        <v/>
      </c>
    </row>
    <row r="521" spans="1:18">
      <c r="A521" t="str">
        <v>521行</v>
      </c>
      <c r="B521" t="str">
        <f ca="1"/>
        <v/>
      </c>
    </row>
    <row r="522" spans="1:18">
      <c r="A522" t="str">
        <v>522行</v>
      </c>
      <c r="B522" t="str">
        <f ca="1"/>
        <v/>
      </c>
    </row>
    <row r="523" spans="1:18">
      <c r="A523" t="str">
        <v>523行</v>
      </c>
      <c r="B523" t="str">
        <f ca="1"/>
        <v/>
      </c>
    </row>
    <row r="524" spans="1:18">
      <c r="A524" t="str">
        <v>524行</v>
      </c>
      <c r="B524" t="str">
        <f ca="1"/>
        <v/>
      </c>
    </row>
    <row r="525" spans="1:18">
      <c r="A525" t="str">
        <v>525行</v>
      </c>
      <c r="B525" t="str">
        <f ca="1"/>
        <v>- O525：作業箇所_1（現在の内容：""）</v>
      </c>
      <c r="N525" t="s">
        <v>767</v>
      </c>
      <c r="O525" s="6"/>
      <c r="P525" t="s">
        <v>768</v>
      </c>
      <c r="Q525" t="s">
        <v>769</v>
      </c>
      <c r="R525" t="s">
        <v>629</v>
      </c>
    </row>
    <row r="526" spans="1:18">
      <c r="A526" t="str">
        <v>526行</v>
      </c>
      <c r="B526" t="str">
        <f ca="1"/>
        <v>- O526：作業箇所_2（現在の内容：""）</v>
      </c>
      <c r="N526" t="s">
        <v>770</v>
      </c>
      <c r="O526" s="6"/>
      <c r="Q526" s="18" t="s">
        <v>769</v>
      </c>
      <c r="R526" t="s">
        <v>629</v>
      </c>
    </row>
    <row r="527" spans="1:18">
      <c r="A527" t="str">
        <v>527行</v>
      </c>
      <c r="B527" t="str">
        <f ca="1"/>
        <v>- O527：作業箇所_3（現在の内容：""）</v>
      </c>
      <c r="N527" t="s">
        <v>771</v>
      </c>
      <c r="O527" s="6"/>
      <c r="Q527" s="18" t="s">
        <v>769</v>
      </c>
      <c r="R527" t="s">
        <v>629</v>
      </c>
    </row>
    <row r="528" spans="1:18">
      <c r="A528" t="str">
        <v>528行</v>
      </c>
      <c r="B528" t="str">
        <f ca="1"/>
        <v>- O528：作業箇所_4（現在の内容：""）</v>
      </c>
      <c r="N528" t="s">
        <v>772</v>
      </c>
      <c r="O528" s="6"/>
      <c r="Q528" s="18" t="s">
        <v>769</v>
      </c>
      <c r="R528" t="s">
        <v>629</v>
      </c>
    </row>
    <row r="529" spans="1:18">
      <c r="A529" t="str">
        <v>529行</v>
      </c>
      <c r="B529" t="str">
        <f ca="1"/>
        <v>- O529：作業箇所_5（現在の内容：""）</v>
      </c>
      <c r="N529" t="s">
        <v>773</v>
      </c>
      <c r="O529" s="6"/>
      <c r="Q529" s="18" t="s">
        <v>769</v>
      </c>
      <c r="R529" t="s">
        <v>629</v>
      </c>
    </row>
    <row r="530" spans="1:18">
      <c r="A530" t="str">
        <v>530行</v>
      </c>
      <c r="B530" t="str">
        <f ca="1"/>
        <v>- O530：作業箇所_6（現在の内容：""）</v>
      </c>
      <c r="N530" t="s">
        <v>774</v>
      </c>
      <c r="O530" s="6"/>
      <c r="Q530" s="18" t="s">
        <v>769</v>
      </c>
      <c r="R530" t="s">
        <v>629</v>
      </c>
    </row>
    <row r="531" spans="1:18">
      <c r="A531" t="str">
        <v>531行</v>
      </c>
      <c r="B531" t="str">
        <f ca="1"/>
        <v>- O531：作業箇所_7（現在の内容：""）</v>
      </c>
      <c r="N531" t="s">
        <v>775</v>
      </c>
      <c r="O531" s="6"/>
      <c r="Q531" s="18" t="s">
        <v>769</v>
      </c>
      <c r="R531" t="s">
        <v>629</v>
      </c>
    </row>
    <row r="532" spans="1:18">
      <c r="A532" t="str">
        <v>532行</v>
      </c>
      <c r="B532" t="str">
        <f ca="1"/>
        <v>- O532：作業箇所_8（現在の内容：""）</v>
      </c>
      <c r="N532" t="s">
        <v>776</v>
      </c>
      <c r="O532" s="6"/>
      <c r="Q532" s="18" t="s">
        <v>769</v>
      </c>
      <c r="R532" t="s">
        <v>629</v>
      </c>
    </row>
    <row r="533" spans="1:18">
      <c r="A533" t="str">
        <v>533行</v>
      </c>
      <c r="B533" t="str">
        <f ca="1"/>
        <v>- O533：作業箇所_9（現在の内容：""）</v>
      </c>
      <c r="N533" t="s">
        <v>777</v>
      </c>
      <c r="O533" s="6"/>
      <c r="Q533" s="18" t="s">
        <v>769</v>
      </c>
      <c r="R533" t="s">
        <v>629</v>
      </c>
    </row>
    <row r="534" spans="1:18">
      <c r="A534" t="str">
        <v>534行</v>
      </c>
      <c r="B534" t="str">
        <f ca="1"/>
        <v>- O534：作業箇所_10（現在の内容：""）</v>
      </c>
      <c r="N534" t="s">
        <v>778</v>
      </c>
      <c r="O534" s="6"/>
      <c r="Q534" s="18" t="s">
        <v>769</v>
      </c>
      <c r="R534" t="s">
        <v>629</v>
      </c>
    </row>
    <row r="535" spans="1:18">
      <c r="A535" t="str">
        <v>535行</v>
      </c>
      <c r="B535" t="str">
        <f ca="1"/>
        <v>- O535：作業箇所_11（現在の内容：""）</v>
      </c>
      <c r="N535" t="s">
        <v>779</v>
      </c>
      <c r="O535" s="6"/>
      <c r="Q535" s="18" t="s">
        <v>769</v>
      </c>
      <c r="R535" t="s">
        <v>629</v>
      </c>
    </row>
    <row r="536" spans="1:18">
      <c r="A536" t="str">
        <v>536行</v>
      </c>
      <c r="B536" t="str">
        <f ca="1"/>
        <v>- O536：作業箇所_12（現在の内容：""）</v>
      </c>
      <c r="N536" t="s">
        <v>780</v>
      </c>
      <c r="O536" s="6"/>
      <c r="Q536" s="18" t="s">
        <v>769</v>
      </c>
      <c r="R536" t="s">
        <v>629</v>
      </c>
    </row>
    <row r="537" spans="1:18">
      <c r="A537" t="str">
        <v>537行</v>
      </c>
      <c r="B537" t="str">
        <f ca="1"/>
        <v>- O537：作業箇所_13（現在の内容：""）</v>
      </c>
      <c r="N537" t="s">
        <v>781</v>
      </c>
      <c r="O537" s="6"/>
      <c r="Q537" s="18" t="s">
        <v>769</v>
      </c>
      <c r="R537" t="s">
        <v>629</v>
      </c>
    </row>
    <row r="538" spans="1:18">
      <c r="A538" t="str">
        <v>538行</v>
      </c>
      <c r="B538" t="str">
        <f ca="1"/>
        <v>- O538：作業箇所_14（現在の内容：""）</v>
      </c>
      <c r="N538" t="s">
        <v>782</v>
      </c>
      <c r="O538" s="6"/>
      <c r="Q538" s="18" t="s">
        <v>769</v>
      </c>
      <c r="R538" t="s">
        <v>629</v>
      </c>
    </row>
    <row r="539" spans="1:18">
      <c r="A539" t="str">
        <v>539行</v>
      </c>
      <c r="B539" t="str">
        <f ca="1"/>
        <v>- O539：作業箇所_15（現在の内容：""）</v>
      </c>
      <c r="N539" t="s">
        <v>783</v>
      </c>
      <c r="O539" s="6"/>
      <c r="Q539" s="18" t="s">
        <v>769</v>
      </c>
      <c r="R539" t="s">
        <v>629</v>
      </c>
    </row>
    <row r="540" spans="1:18">
      <c r="A540" t="str">
        <v>540行</v>
      </c>
      <c r="B540" t="str">
        <f ca="1"/>
        <v>- O540：作業箇所_16（現在の内容：""）</v>
      </c>
      <c r="N540" t="s">
        <v>784</v>
      </c>
      <c r="O540" s="6"/>
      <c r="Q540" s="18" t="s">
        <v>769</v>
      </c>
      <c r="R540" t="s">
        <v>629</v>
      </c>
    </row>
    <row r="541" spans="1:18">
      <c r="A541" t="str">
        <v>541行</v>
      </c>
      <c r="B541" t="str">
        <f ca="1"/>
        <v>- O541：作業箇所_17（現在の内容：""）</v>
      </c>
      <c r="N541" t="s">
        <v>785</v>
      </c>
      <c r="O541" s="6"/>
      <c r="Q541" s="18" t="s">
        <v>769</v>
      </c>
      <c r="R541" t="s">
        <v>629</v>
      </c>
    </row>
    <row r="542" spans="1:18">
      <c r="A542" t="str">
        <v>542行</v>
      </c>
      <c r="B542" t="str">
        <f ca="1"/>
        <v>- O542：作業箇所_18（現在の内容：""）</v>
      </c>
      <c r="N542" t="s">
        <v>786</v>
      </c>
      <c r="O542" s="6"/>
      <c r="Q542" s="18" t="s">
        <v>769</v>
      </c>
      <c r="R542" t="s">
        <v>629</v>
      </c>
    </row>
    <row r="543" spans="1:18">
      <c r="A543" t="str">
        <v>543行</v>
      </c>
      <c r="B543" t="str">
        <f ca="1"/>
        <v>- O543：作業箇所_19（現在の内容：""）</v>
      </c>
      <c r="N543" t="s">
        <v>787</v>
      </c>
      <c r="O543" s="6"/>
      <c r="Q543" s="18" t="s">
        <v>769</v>
      </c>
      <c r="R543" t="s">
        <v>629</v>
      </c>
    </row>
    <row r="544" spans="1:18">
      <c r="A544" t="str">
        <v>544行</v>
      </c>
      <c r="B544" t="str">
        <f ca="1"/>
        <v>- O544：作業箇所_20（現在の内容：""）</v>
      </c>
      <c r="N544" t="s">
        <v>788</v>
      </c>
      <c r="O544" s="6"/>
      <c r="Q544" s="18" t="s">
        <v>769</v>
      </c>
      <c r="R544" t="s">
        <v>629</v>
      </c>
    </row>
    <row r="545" spans="1:19">
      <c r="A545" t="str">
        <v>545行</v>
      </c>
      <c r="B545" t="str">
        <f ca="1"/>
        <v/>
      </c>
    </row>
    <row r="546" spans="1:19">
      <c r="A546" t="str">
        <v>546行</v>
      </c>
      <c r="B546" t="str">
        <f ca="1"/>
        <v/>
      </c>
    </row>
    <row r="547" spans="1:19">
      <c r="A547" t="str">
        <v>547行</v>
      </c>
      <c r="B547" t="str">
        <f ca="1"/>
        <v/>
      </c>
    </row>
    <row r="548" spans="1:19">
      <c r="A548" t="str">
        <v>548行</v>
      </c>
      <c r="B548" t="str">
        <f ca="1"/>
        <v/>
      </c>
    </row>
    <row r="549" spans="1:19">
      <c r="A549" t="str">
        <v>549行</v>
      </c>
      <c r="B549" t="str">
        <f ca="1"/>
        <v/>
      </c>
    </row>
    <row r="550" spans="1:19">
      <c r="A550" t="str">
        <v>550行</v>
      </c>
      <c r="B550" t="str">
        <f ca="1"/>
        <v/>
      </c>
    </row>
    <row r="551" spans="1:19">
      <c r="A551" t="str">
        <v>551行</v>
      </c>
      <c r="B551" t="str">
        <f ca="1"/>
        <v/>
      </c>
    </row>
    <row r="552" spans="1:19">
      <c r="A552" t="str">
        <v>552行</v>
      </c>
      <c r="B552" t="str">
        <f ca="1"/>
        <v/>
      </c>
    </row>
    <row r="553" spans="1:19">
      <c r="A553" t="str">
        <v>553行</v>
      </c>
      <c r="B553" t="str">
        <f ca="1"/>
        <v/>
      </c>
    </row>
    <row r="554" spans="1:19">
      <c r="A554" t="str">
        <v>554行</v>
      </c>
      <c r="B554" t="str">
        <f ca="1"/>
        <v/>
      </c>
    </row>
    <row r="555" spans="1:19">
      <c r="A555" t="str">
        <v>555行</v>
      </c>
      <c r="B555" t="str">
        <f ca="1"/>
        <v/>
      </c>
    </row>
    <row r="556" spans="1:19">
      <c r="A556" t="str">
        <v>556行</v>
      </c>
      <c r="B556" t="str">
        <f ca="1"/>
        <v/>
      </c>
      <c r="M556" s="23" t="s">
        <v>1119</v>
      </c>
      <c r="O556" t="s">
        <v>1131</v>
      </c>
      <c r="P556" t="s">
        <v>790</v>
      </c>
      <c r="Q556" t="s">
        <v>1130</v>
      </c>
    </row>
    <row r="557" spans="1:19">
      <c r="A557" t="str">
        <v>557行</v>
      </c>
      <c r="B557" t="str">
        <f ca="1"/>
        <v>- O557：工程表Excelファイル_1（現在の内容：2025.04 月間予定表.xlsx）</v>
      </c>
      <c r="L557" t="s">
        <v>1118</v>
      </c>
      <c r="M557">
        <v>1</v>
      </c>
      <c r="N557" t="s">
        <v>789</v>
      </c>
      <c r="O557" s="6" t="str" cm="1">
        <f t="array" ref="O557:O756">IF(メニュー!B3:B202="","",メニュー!B3:B202)</f>
        <v>2025.04 月間予定表.xlsx</v>
      </c>
      <c r="P557" s="24" t="str" cm="1">
        <f t="array" ref="P557:P756">IF(メニュー!B3:B202="","",VLOOKUP(メニュー!B3:B202,リスト!$E:$G,2))</f>
        <v>\\Nasm01\10\351400000\07．手配\01．保全G\01.月間予定\2025年度\01.週間予定表\2025.04 月間予定表.xlsx</v>
      </c>
      <c r="Q557" s="24" t="str" cm="1">
        <f t="array" ref="Q557:Q756">IF(P557:P756="","",_xlfn.XLOOKUP(P557:P756,Work!$D:$D,Work!$E:$E,"",0,1))</f>
        <v>2025.04</v>
      </c>
      <c r="R557" t="s">
        <v>629</v>
      </c>
      <c r="S557" t="s">
        <v>791</v>
      </c>
    </row>
    <row r="558" spans="1:19">
      <c r="A558" t="str">
        <v>558行</v>
      </c>
      <c r="B558" t="str">
        <f ca="1"/>
        <v>- O558：工程表Excelファイル_2（現在の内容：""）</v>
      </c>
      <c r="M558">
        <v>2</v>
      </c>
      <c r="N558" t="s">
        <v>792</v>
      </c>
      <c r="O558" s="6" t="str">
        <v/>
      </c>
      <c r="P558" s="24" t="str">
        <v/>
      </c>
      <c r="Q558" s="24" t="str">
        <v/>
      </c>
      <c r="R558" t="s">
        <v>629</v>
      </c>
    </row>
    <row r="559" spans="1:19">
      <c r="A559" t="str">
        <v>559行</v>
      </c>
      <c r="B559" t="str">
        <f ca="1"/>
        <v>- O559：工程表Excelファイル_3（現在の内容：""）</v>
      </c>
      <c r="M559">
        <v>3</v>
      </c>
      <c r="N559" t="s">
        <v>793</v>
      </c>
      <c r="O559" s="6" t="str">
        <v/>
      </c>
      <c r="P559" s="24" t="str">
        <v/>
      </c>
      <c r="Q559" s="24" t="str">
        <v/>
      </c>
      <c r="R559" t="s">
        <v>629</v>
      </c>
    </row>
    <row r="560" spans="1:19">
      <c r="A560" t="str">
        <v>560行</v>
      </c>
      <c r="B560" t="str">
        <f ca="1"/>
        <v>- O560：工程表Excelファイル_4（現在の内容：""）</v>
      </c>
      <c r="M560">
        <v>4</v>
      </c>
      <c r="N560" t="s">
        <v>794</v>
      </c>
      <c r="O560" s="6" t="str">
        <v/>
      </c>
      <c r="P560" s="24" t="str">
        <v/>
      </c>
      <c r="Q560" s="24" t="str">
        <v/>
      </c>
      <c r="R560" t="s">
        <v>629</v>
      </c>
    </row>
    <row r="561" spans="1:18">
      <c r="A561" t="str">
        <v>561行</v>
      </c>
      <c r="B561" t="str">
        <f ca="1"/>
        <v>- O561：工程表Excelファイル_5（現在の内容：""）</v>
      </c>
      <c r="M561">
        <v>5</v>
      </c>
      <c r="N561" t="s">
        <v>795</v>
      </c>
      <c r="O561" s="6" t="str">
        <v/>
      </c>
      <c r="P561" s="24" t="str">
        <v/>
      </c>
      <c r="Q561" s="24" t="str">
        <v/>
      </c>
      <c r="R561" t="s">
        <v>629</v>
      </c>
    </row>
    <row r="562" spans="1:18">
      <c r="A562" t="str">
        <v>562行</v>
      </c>
      <c r="B562" t="str">
        <f ca="1"/>
        <v>- O562：工程表Excelファイル_6（現在の内容：""）</v>
      </c>
      <c r="M562">
        <v>6</v>
      </c>
      <c r="N562" t="s">
        <v>796</v>
      </c>
      <c r="O562" s="6" t="str">
        <v/>
      </c>
      <c r="P562" s="24" t="str">
        <v/>
      </c>
      <c r="Q562" s="24" t="str">
        <v/>
      </c>
      <c r="R562" t="s">
        <v>629</v>
      </c>
    </row>
    <row r="563" spans="1:18">
      <c r="A563" t="str">
        <v>563行</v>
      </c>
      <c r="B563" t="str">
        <f ca="1"/>
        <v>- O563：工程表Excelファイル_7（現在の内容：""）</v>
      </c>
      <c r="M563">
        <v>7</v>
      </c>
      <c r="N563" t="s">
        <v>797</v>
      </c>
      <c r="O563" s="6" t="str">
        <v/>
      </c>
      <c r="P563" s="24" t="str">
        <v/>
      </c>
      <c r="Q563" s="24" t="str">
        <v/>
      </c>
      <c r="R563" t="s">
        <v>629</v>
      </c>
    </row>
    <row r="564" spans="1:18">
      <c r="A564" t="str">
        <v>564行</v>
      </c>
      <c r="B564" t="str">
        <f ca="1"/>
        <v>- O564：工程表Excelファイル_8（現在の内容：""）</v>
      </c>
      <c r="M564">
        <v>8</v>
      </c>
      <c r="N564" t="s">
        <v>798</v>
      </c>
      <c r="O564" s="6" t="str">
        <v/>
      </c>
      <c r="P564" s="24" t="str">
        <v/>
      </c>
      <c r="Q564" s="24" t="str">
        <v/>
      </c>
      <c r="R564" t="s">
        <v>629</v>
      </c>
    </row>
    <row r="565" spans="1:18">
      <c r="A565" t="str">
        <v>565行</v>
      </c>
      <c r="B565" t="str">
        <f ca="1"/>
        <v>- O565：工程表Excelファイル_9（現在の内容：""）</v>
      </c>
      <c r="M565">
        <v>9</v>
      </c>
      <c r="N565" t="s">
        <v>799</v>
      </c>
      <c r="O565" s="6" t="str">
        <v/>
      </c>
      <c r="P565" s="24" t="str">
        <v/>
      </c>
      <c r="Q565" s="24" t="str">
        <v/>
      </c>
      <c r="R565" t="s">
        <v>629</v>
      </c>
    </row>
    <row r="566" spans="1:18">
      <c r="A566" t="str">
        <v>566行</v>
      </c>
      <c r="B566" t="str">
        <f ca="1"/>
        <v>- O566：工程表Excelファイル_10（現在の内容：""）</v>
      </c>
      <c r="M566">
        <v>10</v>
      </c>
      <c r="N566" t="s">
        <v>800</v>
      </c>
      <c r="O566" s="6" t="str">
        <v/>
      </c>
      <c r="P566" s="24" t="str">
        <v/>
      </c>
      <c r="Q566" s="24" t="str">
        <v/>
      </c>
      <c r="R566" t="s">
        <v>629</v>
      </c>
    </row>
    <row r="567" spans="1:18">
      <c r="A567" t="str">
        <v>567行</v>
      </c>
      <c r="B567" t="str">
        <f ca="1"/>
        <v>- O567：工程表Excelファイル_11（現在の内容：""）</v>
      </c>
      <c r="M567">
        <v>11</v>
      </c>
      <c r="N567" t="s">
        <v>801</v>
      </c>
      <c r="O567" s="6" t="str">
        <v/>
      </c>
      <c r="P567" s="24" t="str">
        <v/>
      </c>
      <c r="Q567" s="24" t="str">
        <v/>
      </c>
      <c r="R567" t="s">
        <v>629</v>
      </c>
    </row>
    <row r="568" spans="1:18">
      <c r="A568" t="str">
        <v>568行</v>
      </c>
      <c r="B568" t="str">
        <f ca="1"/>
        <v>- O568：工程表Excelファイル_12（現在の内容：""）</v>
      </c>
      <c r="M568">
        <v>12</v>
      </c>
      <c r="N568" t="s">
        <v>802</v>
      </c>
      <c r="O568" s="6" t="str">
        <v/>
      </c>
      <c r="P568" s="24" t="str">
        <v/>
      </c>
      <c r="Q568" s="24" t="str">
        <v/>
      </c>
      <c r="R568" t="s">
        <v>629</v>
      </c>
    </row>
    <row r="569" spans="1:18">
      <c r="A569" t="str">
        <v>569行</v>
      </c>
      <c r="B569" t="str">
        <f ca="1"/>
        <v>- O569：工程表Excelファイル_13（現在の内容：""）</v>
      </c>
      <c r="M569">
        <v>13</v>
      </c>
      <c r="N569" t="s">
        <v>803</v>
      </c>
      <c r="O569" s="6" t="str">
        <v/>
      </c>
      <c r="P569" s="24" t="str">
        <v/>
      </c>
      <c r="Q569" s="24" t="str">
        <v/>
      </c>
      <c r="R569" t="s">
        <v>629</v>
      </c>
    </row>
    <row r="570" spans="1:18">
      <c r="A570" t="str">
        <v>570行</v>
      </c>
      <c r="B570" t="str">
        <f ca="1"/>
        <v>- O570：工程表Excelファイル_14（現在の内容：""）</v>
      </c>
      <c r="M570">
        <v>14</v>
      </c>
      <c r="N570" t="s">
        <v>804</v>
      </c>
      <c r="O570" s="6" t="str">
        <v/>
      </c>
      <c r="P570" s="24" t="str">
        <v/>
      </c>
      <c r="Q570" s="24" t="str">
        <v/>
      </c>
      <c r="R570" t="s">
        <v>629</v>
      </c>
    </row>
    <row r="571" spans="1:18">
      <c r="A571" t="str">
        <v>571行</v>
      </c>
      <c r="B571" t="str">
        <f ca="1"/>
        <v>- O571：工程表Excelファイル_15（現在の内容：""）</v>
      </c>
      <c r="M571">
        <v>15</v>
      </c>
      <c r="N571" t="s">
        <v>805</v>
      </c>
      <c r="O571" s="6" t="str">
        <v/>
      </c>
      <c r="P571" s="24" t="str">
        <v/>
      </c>
      <c r="Q571" s="24" t="str">
        <v/>
      </c>
      <c r="R571" t="s">
        <v>629</v>
      </c>
    </row>
    <row r="572" spans="1:18">
      <c r="A572" t="str">
        <v>572行</v>
      </c>
      <c r="B572" t="str">
        <f ca="1"/>
        <v>- O572：工程表Excelファイル_16（現在の内容：""）</v>
      </c>
      <c r="M572">
        <v>16</v>
      </c>
      <c r="N572" t="s">
        <v>806</v>
      </c>
      <c r="O572" s="6" t="str">
        <v/>
      </c>
      <c r="P572" s="24" t="str">
        <v/>
      </c>
      <c r="Q572" s="24" t="str">
        <v/>
      </c>
      <c r="R572" t="s">
        <v>629</v>
      </c>
    </row>
    <row r="573" spans="1:18">
      <c r="A573" t="str">
        <v>573行</v>
      </c>
      <c r="B573" t="str">
        <f ca="1"/>
        <v>- O573：工程表Excelファイル_17（現在の内容：""）</v>
      </c>
      <c r="M573">
        <v>17</v>
      </c>
      <c r="N573" t="s">
        <v>807</v>
      </c>
      <c r="O573" s="6" t="str">
        <v/>
      </c>
      <c r="P573" s="24" t="str">
        <v/>
      </c>
      <c r="Q573" s="24" t="str">
        <v/>
      </c>
      <c r="R573" t="s">
        <v>629</v>
      </c>
    </row>
    <row r="574" spans="1:18">
      <c r="A574" t="str">
        <v>574行</v>
      </c>
      <c r="B574" t="str">
        <f ca="1"/>
        <v>- O574：工程表Excelファイル_18（現在の内容：""）</v>
      </c>
      <c r="M574">
        <v>18</v>
      </c>
      <c r="N574" t="s">
        <v>808</v>
      </c>
      <c r="O574" s="6" t="str">
        <v/>
      </c>
      <c r="P574" s="24" t="str">
        <v/>
      </c>
      <c r="Q574" s="24" t="str">
        <v/>
      </c>
      <c r="R574" t="s">
        <v>629</v>
      </c>
    </row>
    <row r="575" spans="1:18">
      <c r="A575" t="str">
        <v>575行</v>
      </c>
      <c r="B575" t="str">
        <f ca="1"/>
        <v>- O575：工程表Excelファイル_19（現在の内容：""）</v>
      </c>
      <c r="M575">
        <v>19</v>
      </c>
      <c r="N575" t="s">
        <v>809</v>
      </c>
      <c r="O575" s="6" t="str">
        <v/>
      </c>
      <c r="P575" s="24" t="str">
        <v/>
      </c>
      <c r="Q575" s="24" t="str">
        <v/>
      </c>
      <c r="R575" t="s">
        <v>629</v>
      </c>
    </row>
    <row r="576" spans="1:18">
      <c r="A576" t="str">
        <v>576行</v>
      </c>
      <c r="B576" t="str">
        <f ca="1"/>
        <v>- O576：工程表Excelファイル_20（現在の内容：""）</v>
      </c>
      <c r="M576">
        <v>20</v>
      </c>
      <c r="N576" t="s">
        <v>810</v>
      </c>
      <c r="O576" s="6" t="str">
        <v/>
      </c>
      <c r="P576" s="24" t="str">
        <v/>
      </c>
      <c r="Q576" s="24" t="str">
        <v/>
      </c>
      <c r="R576" t="s">
        <v>629</v>
      </c>
    </row>
    <row r="577" spans="1:18">
      <c r="A577" t="str">
        <v>577行</v>
      </c>
      <c r="B577" t="str">
        <f ca="1"/>
        <v>- O577：工程表Excelファイル_21（現在の内容：""）</v>
      </c>
      <c r="M577">
        <v>21</v>
      </c>
      <c r="N577" t="s">
        <v>811</v>
      </c>
      <c r="O577" s="6" t="str">
        <v/>
      </c>
      <c r="P577" s="24" t="str">
        <v/>
      </c>
      <c r="Q577" s="24" t="str">
        <v/>
      </c>
      <c r="R577" t="s">
        <v>629</v>
      </c>
    </row>
    <row r="578" spans="1:18">
      <c r="A578" t="str">
        <v>578行</v>
      </c>
      <c r="B578" t="str">
        <f ca="1"/>
        <v>- O578：工程表Excelファイル_22（現在の内容：""）</v>
      </c>
      <c r="M578">
        <v>22</v>
      </c>
      <c r="N578" t="s">
        <v>812</v>
      </c>
      <c r="O578" s="6" t="str">
        <v/>
      </c>
      <c r="P578" s="24" t="str">
        <v/>
      </c>
      <c r="Q578" s="24" t="str">
        <v/>
      </c>
      <c r="R578" t="s">
        <v>629</v>
      </c>
    </row>
    <row r="579" spans="1:18">
      <c r="A579" t="str">
        <v>579行</v>
      </c>
      <c r="B579" t="str">
        <f ca="1"/>
        <v>- O579：工程表Excelファイル_23（現在の内容：""）</v>
      </c>
      <c r="M579">
        <v>23</v>
      </c>
      <c r="N579" t="s">
        <v>813</v>
      </c>
      <c r="O579" s="6" t="str">
        <v/>
      </c>
      <c r="P579" s="24" t="str">
        <v/>
      </c>
      <c r="Q579" s="24" t="str">
        <v/>
      </c>
      <c r="R579" t="s">
        <v>629</v>
      </c>
    </row>
    <row r="580" spans="1:18">
      <c r="A580" t="str">
        <v>580行</v>
      </c>
      <c r="B580" t="str">
        <f ca="1"/>
        <v>- O580：工程表Excelファイル_24（現在の内容：""）</v>
      </c>
      <c r="M580">
        <v>24</v>
      </c>
      <c r="N580" t="s">
        <v>814</v>
      </c>
      <c r="O580" s="6" t="str">
        <v/>
      </c>
      <c r="P580" s="24" t="str">
        <v/>
      </c>
      <c r="Q580" s="24" t="str">
        <v/>
      </c>
      <c r="R580" t="s">
        <v>629</v>
      </c>
    </row>
    <row r="581" spans="1:18">
      <c r="A581" t="str">
        <v>581行</v>
      </c>
      <c r="B581" t="str">
        <f ca="1"/>
        <v>- O581：工程表Excelファイル_25（現在の内容：""）</v>
      </c>
      <c r="M581">
        <v>25</v>
      </c>
      <c r="N581" t="s">
        <v>815</v>
      </c>
      <c r="O581" s="6" t="str">
        <v/>
      </c>
      <c r="P581" s="24" t="str">
        <v/>
      </c>
      <c r="Q581" s="24" t="str">
        <v/>
      </c>
      <c r="R581" t="s">
        <v>629</v>
      </c>
    </row>
    <row r="582" spans="1:18">
      <c r="A582" t="str">
        <v>582行</v>
      </c>
      <c r="B582" t="str">
        <f ca="1"/>
        <v>- O582：工程表Excelファイル_26（現在の内容：""）</v>
      </c>
      <c r="M582">
        <v>26</v>
      </c>
      <c r="N582" t="s">
        <v>816</v>
      </c>
      <c r="O582" s="6" t="str">
        <v/>
      </c>
      <c r="P582" s="24" t="str">
        <v/>
      </c>
      <c r="Q582" s="24" t="str">
        <v/>
      </c>
      <c r="R582" t="s">
        <v>629</v>
      </c>
    </row>
    <row r="583" spans="1:18">
      <c r="A583" t="str">
        <v>583行</v>
      </c>
      <c r="B583" t="str">
        <f ca="1"/>
        <v>- O583：工程表Excelファイル_27（現在の内容：""）</v>
      </c>
      <c r="M583">
        <v>27</v>
      </c>
      <c r="N583" t="s">
        <v>817</v>
      </c>
      <c r="O583" s="6" t="str">
        <v/>
      </c>
      <c r="P583" s="24" t="str">
        <v/>
      </c>
      <c r="Q583" s="24" t="str">
        <v/>
      </c>
      <c r="R583" t="s">
        <v>629</v>
      </c>
    </row>
    <row r="584" spans="1:18">
      <c r="A584" t="str">
        <v>584行</v>
      </c>
      <c r="B584" t="str">
        <f ca="1"/>
        <v>- O584：工程表Excelファイル_28（現在の内容：""）</v>
      </c>
      <c r="M584">
        <v>28</v>
      </c>
      <c r="N584" t="s">
        <v>818</v>
      </c>
      <c r="O584" s="6" t="str">
        <v/>
      </c>
      <c r="P584" s="24" t="str">
        <v/>
      </c>
      <c r="Q584" s="24" t="str">
        <v/>
      </c>
      <c r="R584" t="s">
        <v>629</v>
      </c>
    </row>
    <row r="585" spans="1:18">
      <c r="A585" t="str">
        <v>585行</v>
      </c>
      <c r="B585" t="str">
        <f ca="1"/>
        <v>- O585：工程表Excelファイル_29（現在の内容：""）</v>
      </c>
      <c r="M585">
        <v>29</v>
      </c>
      <c r="N585" t="s">
        <v>819</v>
      </c>
      <c r="O585" s="6" t="str">
        <v/>
      </c>
      <c r="P585" s="24" t="str">
        <v/>
      </c>
      <c r="Q585" s="24" t="str">
        <v/>
      </c>
      <c r="R585" t="s">
        <v>629</v>
      </c>
    </row>
    <row r="586" spans="1:18">
      <c r="A586" t="str">
        <v>586行</v>
      </c>
      <c r="B586" t="str">
        <f ca="1"/>
        <v>- O586：工程表Excelファイル_30（現在の内容：""）</v>
      </c>
      <c r="M586">
        <v>30</v>
      </c>
      <c r="N586" t="s">
        <v>820</v>
      </c>
      <c r="O586" s="6" t="str">
        <v/>
      </c>
      <c r="P586" s="24" t="str">
        <v/>
      </c>
      <c r="Q586" s="24" t="str">
        <v/>
      </c>
      <c r="R586" t="s">
        <v>629</v>
      </c>
    </row>
    <row r="587" spans="1:18">
      <c r="A587" t="str">
        <v>587行</v>
      </c>
      <c r="B587" t="str">
        <f ca="1"/>
        <v>- O587：工程表Excelファイル_31（現在の内容：""）</v>
      </c>
      <c r="M587">
        <v>31</v>
      </c>
      <c r="N587" t="s">
        <v>821</v>
      </c>
      <c r="O587" s="6" t="str">
        <v/>
      </c>
      <c r="P587" s="24" t="str">
        <v/>
      </c>
      <c r="Q587" s="24" t="str">
        <v/>
      </c>
      <c r="R587" t="s">
        <v>629</v>
      </c>
    </row>
    <row r="588" spans="1:18">
      <c r="A588" t="str">
        <v>588行</v>
      </c>
      <c r="B588" t="str">
        <f ca="1"/>
        <v>- O588：工程表Excelファイル_32（現在の内容：""）</v>
      </c>
      <c r="M588">
        <v>32</v>
      </c>
      <c r="N588" t="s">
        <v>822</v>
      </c>
      <c r="O588" s="6" t="str">
        <v/>
      </c>
      <c r="P588" s="24" t="str">
        <v/>
      </c>
      <c r="Q588" s="24" t="str">
        <v/>
      </c>
      <c r="R588" t="s">
        <v>629</v>
      </c>
    </row>
    <row r="589" spans="1:18">
      <c r="A589" t="str">
        <v>589行</v>
      </c>
      <c r="B589" t="str">
        <f ca="1"/>
        <v>- O589：工程表Excelファイル_33（現在の内容：""）</v>
      </c>
      <c r="M589">
        <v>33</v>
      </c>
      <c r="N589" t="s">
        <v>823</v>
      </c>
      <c r="O589" s="6" t="str">
        <v/>
      </c>
      <c r="P589" s="24" t="str">
        <v/>
      </c>
      <c r="Q589" s="24" t="str">
        <v/>
      </c>
      <c r="R589" t="s">
        <v>629</v>
      </c>
    </row>
    <row r="590" spans="1:18">
      <c r="A590" t="str">
        <v>590行</v>
      </c>
      <c r="B590" t="str">
        <f ca="1"/>
        <v>- O590：工程表Excelファイル_34（現在の内容：""）</v>
      </c>
      <c r="M590">
        <v>34</v>
      </c>
      <c r="N590" t="s">
        <v>824</v>
      </c>
      <c r="O590" s="6" t="str">
        <v/>
      </c>
      <c r="P590" s="24" t="str">
        <v/>
      </c>
      <c r="Q590" s="24" t="str">
        <v/>
      </c>
      <c r="R590" t="s">
        <v>629</v>
      </c>
    </row>
    <row r="591" spans="1:18">
      <c r="A591" t="str">
        <v>591行</v>
      </c>
      <c r="B591" t="str">
        <f ca="1"/>
        <v>- O591：工程表Excelファイル_35（現在の内容：""）</v>
      </c>
      <c r="M591">
        <v>35</v>
      </c>
      <c r="N591" t="s">
        <v>825</v>
      </c>
      <c r="O591" s="6" t="str">
        <v/>
      </c>
      <c r="P591" s="24" t="str">
        <v/>
      </c>
      <c r="Q591" s="24" t="str">
        <v/>
      </c>
      <c r="R591" t="s">
        <v>629</v>
      </c>
    </row>
    <row r="592" spans="1:18">
      <c r="A592" t="str">
        <v>592行</v>
      </c>
      <c r="B592" t="str">
        <f ca="1"/>
        <v>- O592：工程表Excelファイル_36（現在の内容：""）</v>
      </c>
      <c r="M592">
        <v>36</v>
      </c>
      <c r="N592" t="s">
        <v>826</v>
      </c>
      <c r="O592" s="6" t="str">
        <v/>
      </c>
      <c r="P592" s="24" t="str">
        <v/>
      </c>
      <c r="Q592" s="24" t="str">
        <v/>
      </c>
      <c r="R592" t="s">
        <v>629</v>
      </c>
    </row>
    <row r="593" spans="1:18">
      <c r="A593" t="str">
        <v>593行</v>
      </c>
      <c r="B593" t="str">
        <f ca="1"/>
        <v>- O593：工程表Excelファイル_37（現在の内容：""）</v>
      </c>
      <c r="M593">
        <v>37</v>
      </c>
      <c r="N593" t="s">
        <v>827</v>
      </c>
      <c r="O593" s="6" t="str">
        <v/>
      </c>
      <c r="P593" s="24" t="str">
        <v/>
      </c>
      <c r="Q593" s="24" t="str">
        <v/>
      </c>
      <c r="R593" t="s">
        <v>629</v>
      </c>
    </row>
    <row r="594" spans="1:18">
      <c r="A594" t="str">
        <v>594行</v>
      </c>
      <c r="B594" t="str">
        <f ca="1"/>
        <v>- O594：工程表Excelファイル_38（現在の内容：""）</v>
      </c>
      <c r="M594">
        <v>38</v>
      </c>
      <c r="N594" t="s">
        <v>828</v>
      </c>
      <c r="O594" s="6" t="str">
        <v/>
      </c>
      <c r="P594" s="24" t="str">
        <v/>
      </c>
      <c r="Q594" s="24" t="str">
        <v/>
      </c>
      <c r="R594" t="s">
        <v>629</v>
      </c>
    </row>
    <row r="595" spans="1:18">
      <c r="A595" t="str">
        <v>595行</v>
      </c>
      <c r="B595" t="str">
        <f ca="1"/>
        <v>- O595：工程表Excelファイル_39（現在の内容：""）</v>
      </c>
      <c r="M595">
        <v>39</v>
      </c>
      <c r="N595" t="s">
        <v>829</v>
      </c>
      <c r="O595" s="6" t="str">
        <v/>
      </c>
      <c r="P595" s="24" t="str">
        <v/>
      </c>
      <c r="Q595" s="24" t="str">
        <v/>
      </c>
      <c r="R595" t="s">
        <v>629</v>
      </c>
    </row>
    <row r="596" spans="1:18">
      <c r="A596" t="str">
        <v>596行</v>
      </c>
      <c r="B596" t="str">
        <f ca="1"/>
        <v>- O596：工程表Excelファイル_40（現在の内容：""）</v>
      </c>
      <c r="M596">
        <v>40</v>
      </c>
      <c r="N596" t="s">
        <v>830</v>
      </c>
      <c r="O596" s="6" t="str">
        <v/>
      </c>
      <c r="P596" s="24" t="str">
        <v/>
      </c>
      <c r="Q596" s="24" t="str">
        <v/>
      </c>
      <c r="R596" t="s">
        <v>629</v>
      </c>
    </row>
    <row r="597" spans="1:18">
      <c r="A597" t="str">
        <v>597行</v>
      </c>
      <c r="B597" t="str">
        <f ca="1"/>
        <v>- O597：工程表Excelファイル_41（現在の内容：""）</v>
      </c>
      <c r="M597">
        <v>41</v>
      </c>
      <c r="N597" t="s">
        <v>831</v>
      </c>
      <c r="O597" s="6" t="str">
        <v/>
      </c>
      <c r="P597" s="24" t="str">
        <v/>
      </c>
      <c r="Q597" s="24" t="str">
        <v/>
      </c>
      <c r="R597" t="s">
        <v>629</v>
      </c>
    </row>
    <row r="598" spans="1:18">
      <c r="A598" t="str">
        <v>598行</v>
      </c>
      <c r="B598" t="str">
        <f ca="1"/>
        <v>- O598：工程表Excelファイル_42（現在の内容：""）</v>
      </c>
      <c r="M598">
        <v>42</v>
      </c>
      <c r="N598" t="s">
        <v>832</v>
      </c>
      <c r="O598" s="6" t="str">
        <v/>
      </c>
      <c r="P598" s="24" t="str">
        <v/>
      </c>
      <c r="Q598" s="24" t="str">
        <v/>
      </c>
      <c r="R598" t="s">
        <v>629</v>
      </c>
    </row>
    <row r="599" spans="1:18">
      <c r="A599" t="str">
        <v>599行</v>
      </c>
      <c r="B599" t="str">
        <f ca="1"/>
        <v>- O599：工程表Excelファイル_43（現在の内容：""）</v>
      </c>
      <c r="M599">
        <v>43</v>
      </c>
      <c r="N599" t="s">
        <v>833</v>
      </c>
      <c r="O599" s="6" t="str">
        <v/>
      </c>
      <c r="P599" s="24" t="str">
        <v/>
      </c>
      <c r="Q599" s="24" t="str">
        <v/>
      </c>
      <c r="R599" t="s">
        <v>629</v>
      </c>
    </row>
    <row r="600" spans="1:18">
      <c r="A600" t="str">
        <v>600行</v>
      </c>
      <c r="B600" t="str">
        <f ca="1"/>
        <v>- O600：工程表Excelファイル_44（現在の内容：""）</v>
      </c>
      <c r="M600">
        <v>44</v>
      </c>
      <c r="N600" t="s">
        <v>834</v>
      </c>
      <c r="O600" s="6" t="str">
        <v/>
      </c>
      <c r="P600" s="24" t="str">
        <v/>
      </c>
      <c r="Q600" s="24" t="str">
        <v/>
      </c>
      <c r="R600" t="s">
        <v>629</v>
      </c>
    </row>
    <row r="601" spans="1:18">
      <c r="A601" t="str">
        <v>601行</v>
      </c>
      <c r="B601" t="str">
        <f ca="1"/>
        <v>- O601：工程表Excelファイル_45（現在の内容：""）</v>
      </c>
      <c r="M601">
        <v>45</v>
      </c>
      <c r="N601" t="s">
        <v>835</v>
      </c>
      <c r="O601" s="6" t="str">
        <v/>
      </c>
      <c r="P601" s="24" t="str">
        <v/>
      </c>
      <c r="Q601" s="24" t="str">
        <v/>
      </c>
      <c r="R601" t="s">
        <v>629</v>
      </c>
    </row>
    <row r="602" spans="1:18">
      <c r="A602" t="str">
        <v>602行</v>
      </c>
      <c r="B602" t="str">
        <f ca="1"/>
        <v>- O602：工程表Excelファイル_46（現在の内容：""）</v>
      </c>
      <c r="M602">
        <v>46</v>
      </c>
      <c r="N602" t="s">
        <v>836</v>
      </c>
      <c r="O602" s="6" t="str">
        <v/>
      </c>
      <c r="P602" s="24" t="str">
        <v/>
      </c>
      <c r="Q602" s="24" t="str">
        <v/>
      </c>
      <c r="R602" t="s">
        <v>629</v>
      </c>
    </row>
    <row r="603" spans="1:18">
      <c r="A603" t="str">
        <v>603行</v>
      </c>
      <c r="B603" t="str">
        <f ca="1"/>
        <v>- O603：工程表Excelファイル_47（現在の内容：""）</v>
      </c>
      <c r="M603">
        <v>47</v>
      </c>
      <c r="N603" t="s">
        <v>837</v>
      </c>
      <c r="O603" s="6" t="str">
        <v/>
      </c>
      <c r="P603" s="24" t="str">
        <v/>
      </c>
      <c r="Q603" s="24" t="str">
        <v/>
      </c>
      <c r="R603" t="s">
        <v>629</v>
      </c>
    </row>
    <row r="604" spans="1:18">
      <c r="A604" t="str">
        <v>604行</v>
      </c>
      <c r="B604" t="str">
        <f ca="1"/>
        <v>- O604：工程表Excelファイル_48（現在の内容：""）</v>
      </c>
      <c r="M604">
        <v>48</v>
      </c>
      <c r="N604" t="s">
        <v>838</v>
      </c>
      <c r="O604" s="6" t="str">
        <v/>
      </c>
      <c r="P604" s="24" t="str">
        <v/>
      </c>
      <c r="Q604" s="24" t="str">
        <v/>
      </c>
      <c r="R604" t="s">
        <v>629</v>
      </c>
    </row>
    <row r="605" spans="1:18">
      <c r="A605" t="str">
        <v>605行</v>
      </c>
      <c r="B605" t="str">
        <f ca="1"/>
        <v>- O605：工程表Excelファイル_49（現在の内容：""）</v>
      </c>
      <c r="M605">
        <v>49</v>
      </c>
      <c r="N605" t="s">
        <v>839</v>
      </c>
      <c r="O605" s="6" t="str">
        <v/>
      </c>
      <c r="P605" s="24" t="str">
        <v/>
      </c>
      <c r="Q605" s="24" t="str">
        <v/>
      </c>
      <c r="R605" t="s">
        <v>629</v>
      </c>
    </row>
    <row r="606" spans="1:18">
      <c r="A606" t="str">
        <v>606行</v>
      </c>
      <c r="B606" t="str">
        <f ca="1"/>
        <v>- O606：工程表Excelファイル_50（現在の内容：""）</v>
      </c>
      <c r="M606">
        <v>50</v>
      </c>
      <c r="N606" t="s">
        <v>840</v>
      </c>
      <c r="O606" s="6" t="str">
        <v/>
      </c>
      <c r="P606" s="24" t="str">
        <v/>
      </c>
      <c r="Q606" s="24" t="str">
        <v/>
      </c>
      <c r="R606" t="s">
        <v>629</v>
      </c>
    </row>
    <row r="607" spans="1:18">
      <c r="A607" t="str">
        <v>607行</v>
      </c>
      <c r="B607" t="str">
        <f ca="1"/>
        <v>- O607：工程表Excelファイル_51（現在の内容：""）</v>
      </c>
      <c r="M607">
        <v>51</v>
      </c>
      <c r="N607" t="s">
        <v>841</v>
      </c>
      <c r="O607" s="6" t="str">
        <v/>
      </c>
      <c r="P607" s="24" t="str">
        <v/>
      </c>
      <c r="Q607" s="24" t="str">
        <v/>
      </c>
      <c r="R607" t="s">
        <v>629</v>
      </c>
    </row>
    <row r="608" spans="1:18">
      <c r="A608" t="str">
        <v>608行</v>
      </c>
      <c r="B608" t="str">
        <f ca="1"/>
        <v>- O608：工程表Excelファイル_52（現在の内容：""）</v>
      </c>
      <c r="M608">
        <v>52</v>
      </c>
      <c r="N608" t="s">
        <v>842</v>
      </c>
      <c r="O608" s="6" t="str">
        <v/>
      </c>
      <c r="P608" s="24" t="str">
        <v/>
      </c>
      <c r="Q608" s="24" t="str">
        <v/>
      </c>
      <c r="R608" t="s">
        <v>629</v>
      </c>
    </row>
    <row r="609" spans="1:18">
      <c r="A609" t="str">
        <v>609行</v>
      </c>
      <c r="B609" t="str">
        <f ca="1"/>
        <v>- O609：工程表Excelファイル_53（現在の内容：""）</v>
      </c>
      <c r="M609">
        <v>53</v>
      </c>
      <c r="N609" t="s">
        <v>843</v>
      </c>
      <c r="O609" s="6" t="str">
        <v/>
      </c>
      <c r="P609" s="24" t="str">
        <v/>
      </c>
      <c r="Q609" s="24" t="str">
        <v/>
      </c>
      <c r="R609" t="s">
        <v>629</v>
      </c>
    </row>
    <row r="610" spans="1:18">
      <c r="A610" t="str">
        <v>610行</v>
      </c>
      <c r="B610" t="str">
        <f ca="1"/>
        <v>- O610：工程表Excelファイル_54（現在の内容：""）</v>
      </c>
      <c r="M610">
        <v>54</v>
      </c>
      <c r="N610" t="s">
        <v>844</v>
      </c>
      <c r="O610" s="6" t="str">
        <v/>
      </c>
      <c r="P610" s="24" t="str">
        <v/>
      </c>
      <c r="Q610" s="24" t="str">
        <v/>
      </c>
      <c r="R610" t="s">
        <v>629</v>
      </c>
    </row>
    <row r="611" spans="1:18">
      <c r="A611" t="str">
        <v>611行</v>
      </c>
      <c r="B611" t="str">
        <f ca="1"/>
        <v>- O611：工程表Excelファイル_55（現在の内容：""）</v>
      </c>
      <c r="M611">
        <v>55</v>
      </c>
      <c r="N611" t="s">
        <v>845</v>
      </c>
      <c r="O611" s="6" t="str">
        <v/>
      </c>
      <c r="P611" s="24" t="str">
        <v/>
      </c>
      <c r="Q611" s="24" t="str">
        <v/>
      </c>
      <c r="R611" t="s">
        <v>629</v>
      </c>
    </row>
    <row r="612" spans="1:18">
      <c r="A612" t="str">
        <v>612行</v>
      </c>
      <c r="B612" t="str">
        <f ca="1"/>
        <v>- O612：工程表Excelファイル_56（現在の内容：""）</v>
      </c>
      <c r="M612">
        <v>56</v>
      </c>
      <c r="N612" t="s">
        <v>846</v>
      </c>
      <c r="O612" s="6" t="str">
        <v/>
      </c>
      <c r="P612" s="24" t="str">
        <v/>
      </c>
      <c r="Q612" s="24" t="str">
        <v/>
      </c>
      <c r="R612" t="s">
        <v>629</v>
      </c>
    </row>
    <row r="613" spans="1:18">
      <c r="A613" t="str">
        <v>613行</v>
      </c>
      <c r="B613" t="str">
        <f ca="1"/>
        <v>- O613：工程表Excelファイル_57（現在の内容：""）</v>
      </c>
      <c r="M613">
        <v>57</v>
      </c>
      <c r="N613" t="s">
        <v>847</v>
      </c>
      <c r="O613" s="6" t="str">
        <v/>
      </c>
      <c r="P613" s="24" t="str">
        <v/>
      </c>
      <c r="Q613" s="24" t="str">
        <v/>
      </c>
      <c r="R613" t="s">
        <v>629</v>
      </c>
    </row>
    <row r="614" spans="1:18">
      <c r="A614" t="str">
        <v>614行</v>
      </c>
      <c r="B614" t="str">
        <f ca="1"/>
        <v>- O614：工程表Excelファイル_58（現在の内容：""）</v>
      </c>
      <c r="M614">
        <v>58</v>
      </c>
      <c r="N614" t="s">
        <v>848</v>
      </c>
      <c r="O614" s="6" t="str">
        <v/>
      </c>
      <c r="P614" s="24" t="str">
        <v/>
      </c>
      <c r="Q614" s="24" t="str">
        <v/>
      </c>
      <c r="R614" t="s">
        <v>629</v>
      </c>
    </row>
    <row r="615" spans="1:18">
      <c r="A615" t="str">
        <v>615行</v>
      </c>
      <c r="B615" t="str">
        <f ca="1"/>
        <v>- O615：工程表Excelファイル_59（現在の内容：""）</v>
      </c>
      <c r="M615">
        <v>59</v>
      </c>
      <c r="N615" t="s">
        <v>849</v>
      </c>
      <c r="O615" s="6" t="str">
        <v/>
      </c>
      <c r="P615" s="24" t="str">
        <v/>
      </c>
      <c r="Q615" s="24" t="str">
        <v/>
      </c>
      <c r="R615" t="s">
        <v>629</v>
      </c>
    </row>
    <row r="616" spans="1:18">
      <c r="A616" t="str">
        <v>616行</v>
      </c>
      <c r="B616" t="str">
        <f ca="1"/>
        <v>- O616：工程表Excelファイル_60（現在の内容：""）</v>
      </c>
      <c r="M616">
        <v>60</v>
      </c>
      <c r="N616" t="s">
        <v>850</v>
      </c>
      <c r="O616" s="6" t="str">
        <v/>
      </c>
      <c r="P616" s="24" t="str">
        <v/>
      </c>
      <c r="Q616" s="24" t="str">
        <v/>
      </c>
      <c r="R616" t="s">
        <v>629</v>
      </c>
    </row>
    <row r="617" spans="1:18">
      <c r="A617" t="str">
        <v>617行</v>
      </c>
      <c r="B617" t="str">
        <f ca="1"/>
        <v>- O617：工程表Excelファイル_61（現在の内容：""）</v>
      </c>
      <c r="M617">
        <v>61</v>
      </c>
      <c r="N617" t="s">
        <v>851</v>
      </c>
      <c r="O617" s="6" t="str">
        <v/>
      </c>
      <c r="P617" s="24" t="str">
        <v/>
      </c>
      <c r="Q617" s="24" t="str">
        <v/>
      </c>
      <c r="R617" t="s">
        <v>629</v>
      </c>
    </row>
    <row r="618" spans="1:18">
      <c r="A618" t="str">
        <v>618行</v>
      </c>
      <c r="B618" t="str">
        <f ca="1"/>
        <v>- O618：工程表Excelファイル_62（現在の内容：""）</v>
      </c>
      <c r="M618">
        <v>62</v>
      </c>
      <c r="N618" t="s">
        <v>852</v>
      </c>
      <c r="O618" s="6" t="str">
        <v/>
      </c>
      <c r="P618" s="24" t="str">
        <v/>
      </c>
      <c r="Q618" s="24" t="str">
        <v/>
      </c>
      <c r="R618" t="s">
        <v>629</v>
      </c>
    </row>
    <row r="619" spans="1:18">
      <c r="A619" t="str">
        <v>619行</v>
      </c>
      <c r="B619" t="str">
        <f ca="1"/>
        <v>- O619：工程表Excelファイル_63（現在の内容：""）</v>
      </c>
      <c r="M619">
        <v>63</v>
      </c>
      <c r="N619" t="s">
        <v>853</v>
      </c>
      <c r="O619" s="6" t="str">
        <v/>
      </c>
      <c r="P619" s="24" t="str">
        <v/>
      </c>
      <c r="Q619" s="24" t="str">
        <v/>
      </c>
      <c r="R619" t="s">
        <v>629</v>
      </c>
    </row>
    <row r="620" spans="1:18">
      <c r="A620" t="str">
        <v>620行</v>
      </c>
      <c r="B620" t="str">
        <f ca="1"/>
        <v>- O620：工程表Excelファイル_64（現在の内容：""）</v>
      </c>
      <c r="M620">
        <v>64</v>
      </c>
      <c r="N620" t="s">
        <v>854</v>
      </c>
      <c r="O620" s="6" t="str">
        <v/>
      </c>
      <c r="P620" s="24" t="str">
        <v/>
      </c>
      <c r="Q620" s="24" t="str">
        <v/>
      </c>
      <c r="R620" t="s">
        <v>629</v>
      </c>
    </row>
    <row r="621" spans="1:18">
      <c r="A621" t="str">
        <v>621行</v>
      </c>
      <c r="B621" t="str">
        <f ca="1"/>
        <v>- O621：工程表Excelファイル_65（現在の内容：""）</v>
      </c>
      <c r="M621">
        <v>65</v>
      </c>
      <c r="N621" t="s">
        <v>855</v>
      </c>
      <c r="O621" s="6" t="str">
        <v/>
      </c>
      <c r="P621" s="24" t="str">
        <v/>
      </c>
      <c r="Q621" s="24" t="str">
        <v/>
      </c>
      <c r="R621" t="s">
        <v>629</v>
      </c>
    </row>
    <row r="622" spans="1:18">
      <c r="A622" t="str">
        <v>622行</v>
      </c>
      <c r="B622" t="str">
        <f ca="1"/>
        <v>- O622：工程表Excelファイル_66（現在の内容：""）</v>
      </c>
      <c r="M622">
        <v>66</v>
      </c>
      <c r="N622" t="s">
        <v>856</v>
      </c>
      <c r="O622" s="6" t="str">
        <v/>
      </c>
      <c r="P622" s="24" t="str">
        <v/>
      </c>
      <c r="Q622" s="24" t="str">
        <v/>
      </c>
      <c r="R622" t="s">
        <v>629</v>
      </c>
    </row>
    <row r="623" spans="1:18">
      <c r="A623" t="str">
        <v>623行</v>
      </c>
      <c r="B623" t="str">
        <f ca="1"/>
        <v>- O623：工程表Excelファイル_67（現在の内容：""）</v>
      </c>
      <c r="M623">
        <v>67</v>
      </c>
      <c r="N623" t="s">
        <v>857</v>
      </c>
      <c r="O623" s="6" t="str">
        <v/>
      </c>
      <c r="P623" s="24" t="str">
        <v/>
      </c>
      <c r="Q623" s="24" t="str">
        <v/>
      </c>
      <c r="R623" t="s">
        <v>629</v>
      </c>
    </row>
    <row r="624" spans="1:18">
      <c r="A624" t="str">
        <v>624行</v>
      </c>
      <c r="B624" t="str">
        <f ca="1"/>
        <v>- O624：工程表Excelファイル_68（現在の内容：""）</v>
      </c>
      <c r="M624">
        <v>68</v>
      </c>
      <c r="N624" t="s">
        <v>858</v>
      </c>
      <c r="O624" s="6" t="str">
        <v/>
      </c>
      <c r="P624" s="24" t="str">
        <v/>
      </c>
      <c r="Q624" s="24" t="str">
        <v/>
      </c>
      <c r="R624" t="s">
        <v>629</v>
      </c>
    </row>
    <row r="625" spans="1:18">
      <c r="A625" t="str">
        <v>625行</v>
      </c>
      <c r="B625" t="str">
        <f ca="1"/>
        <v>- O625：工程表Excelファイル_69（現在の内容：""）</v>
      </c>
      <c r="M625">
        <v>69</v>
      </c>
      <c r="N625" t="s">
        <v>859</v>
      </c>
      <c r="O625" s="6" t="str">
        <v/>
      </c>
      <c r="P625" s="24" t="str">
        <v/>
      </c>
      <c r="Q625" s="24" t="str">
        <v/>
      </c>
      <c r="R625" t="s">
        <v>629</v>
      </c>
    </row>
    <row r="626" spans="1:18">
      <c r="A626" t="str">
        <v>626行</v>
      </c>
      <c r="B626" t="str">
        <f ca="1"/>
        <v>- O626：工程表Excelファイル_70（現在の内容：""）</v>
      </c>
      <c r="M626">
        <v>70</v>
      </c>
      <c r="N626" t="s">
        <v>860</v>
      </c>
      <c r="O626" s="6" t="str">
        <v/>
      </c>
      <c r="P626" s="24" t="str">
        <v/>
      </c>
      <c r="Q626" s="24" t="str">
        <v/>
      </c>
      <c r="R626" t="s">
        <v>629</v>
      </c>
    </row>
    <row r="627" spans="1:18">
      <c r="A627" t="str">
        <v>627行</v>
      </c>
      <c r="B627" t="str">
        <f ca="1"/>
        <v>- O627：工程表Excelファイル_71（現在の内容：""）</v>
      </c>
      <c r="M627">
        <v>71</v>
      </c>
      <c r="N627" t="s">
        <v>861</v>
      </c>
      <c r="O627" s="6" t="str">
        <v/>
      </c>
      <c r="P627" s="24" t="str">
        <v/>
      </c>
      <c r="Q627" s="24" t="str">
        <v/>
      </c>
      <c r="R627" t="s">
        <v>629</v>
      </c>
    </row>
    <row r="628" spans="1:18">
      <c r="A628" t="str">
        <v>628行</v>
      </c>
      <c r="B628" t="str">
        <f ca="1"/>
        <v>- O628：工程表Excelファイル_72（現在の内容：""）</v>
      </c>
      <c r="M628">
        <v>72</v>
      </c>
      <c r="N628" t="s">
        <v>862</v>
      </c>
      <c r="O628" s="6" t="str">
        <v/>
      </c>
      <c r="P628" s="24" t="str">
        <v/>
      </c>
      <c r="Q628" s="24" t="str">
        <v/>
      </c>
      <c r="R628" t="s">
        <v>629</v>
      </c>
    </row>
    <row r="629" spans="1:18">
      <c r="A629" t="str">
        <v>629行</v>
      </c>
      <c r="B629" t="str">
        <f ca="1"/>
        <v>- O629：工程表Excelファイル_73（現在の内容：""）</v>
      </c>
      <c r="M629">
        <v>73</v>
      </c>
      <c r="N629" t="s">
        <v>863</v>
      </c>
      <c r="O629" s="6" t="str">
        <v/>
      </c>
      <c r="P629" s="24" t="str">
        <v/>
      </c>
      <c r="Q629" s="24" t="str">
        <v/>
      </c>
      <c r="R629" t="s">
        <v>629</v>
      </c>
    </row>
    <row r="630" spans="1:18">
      <c r="A630" t="str">
        <v>630行</v>
      </c>
      <c r="B630" t="str">
        <f ca="1"/>
        <v>- O630：工程表Excelファイル_74（現在の内容：""）</v>
      </c>
      <c r="M630">
        <v>74</v>
      </c>
      <c r="N630" t="s">
        <v>864</v>
      </c>
      <c r="O630" s="6" t="str">
        <v/>
      </c>
      <c r="P630" s="24" t="str">
        <v/>
      </c>
      <c r="Q630" s="24" t="str">
        <v/>
      </c>
      <c r="R630" t="s">
        <v>629</v>
      </c>
    </row>
    <row r="631" spans="1:18">
      <c r="A631" t="str">
        <v>631行</v>
      </c>
      <c r="B631" t="str">
        <f ca="1"/>
        <v>- O631：工程表Excelファイル_75（現在の内容：""）</v>
      </c>
      <c r="M631">
        <v>75</v>
      </c>
      <c r="N631" t="s">
        <v>865</v>
      </c>
      <c r="O631" s="6" t="str">
        <v/>
      </c>
      <c r="P631" s="24" t="str">
        <v/>
      </c>
      <c r="Q631" s="24" t="str">
        <v/>
      </c>
      <c r="R631" t="s">
        <v>629</v>
      </c>
    </row>
    <row r="632" spans="1:18">
      <c r="A632" t="str">
        <v>632行</v>
      </c>
      <c r="B632" t="str">
        <f ca="1"/>
        <v>- O632：工程表Excelファイル_76（現在の内容：""）</v>
      </c>
      <c r="M632">
        <v>76</v>
      </c>
      <c r="N632" t="s">
        <v>866</v>
      </c>
      <c r="O632" s="6" t="str">
        <v/>
      </c>
      <c r="P632" s="24" t="str">
        <v/>
      </c>
      <c r="Q632" s="24" t="str">
        <v/>
      </c>
      <c r="R632" t="s">
        <v>629</v>
      </c>
    </row>
    <row r="633" spans="1:18">
      <c r="A633" t="str">
        <v>633行</v>
      </c>
      <c r="B633" t="str">
        <f ca="1"/>
        <v>- O633：工程表Excelファイル_77（現在の内容：""）</v>
      </c>
      <c r="M633">
        <v>77</v>
      </c>
      <c r="N633" t="s">
        <v>867</v>
      </c>
      <c r="O633" s="6" t="str">
        <v/>
      </c>
      <c r="P633" s="24" t="str">
        <v/>
      </c>
      <c r="Q633" s="24" t="str">
        <v/>
      </c>
      <c r="R633" t="s">
        <v>629</v>
      </c>
    </row>
    <row r="634" spans="1:18">
      <c r="A634" t="str">
        <v>634行</v>
      </c>
      <c r="B634" t="str">
        <f ca="1"/>
        <v>- O634：工程表Excelファイル_78（現在の内容：""）</v>
      </c>
      <c r="M634">
        <v>78</v>
      </c>
      <c r="N634" t="s">
        <v>868</v>
      </c>
      <c r="O634" s="6" t="str">
        <v/>
      </c>
      <c r="P634" s="24" t="str">
        <v/>
      </c>
      <c r="Q634" s="24" t="str">
        <v/>
      </c>
      <c r="R634" t="s">
        <v>629</v>
      </c>
    </row>
    <row r="635" spans="1:18">
      <c r="A635" t="str">
        <v>635行</v>
      </c>
      <c r="B635" t="str">
        <f ca="1"/>
        <v>- O635：工程表Excelファイル_79（現在の内容：""）</v>
      </c>
      <c r="M635">
        <v>79</v>
      </c>
      <c r="N635" t="s">
        <v>869</v>
      </c>
      <c r="O635" s="6" t="str">
        <v/>
      </c>
      <c r="P635" s="24" t="str">
        <v/>
      </c>
      <c r="Q635" s="24" t="str">
        <v/>
      </c>
      <c r="R635" t="s">
        <v>629</v>
      </c>
    </row>
    <row r="636" spans="1:18">
      <c r="A636" t="str">
        <v>636行</v>
      </c>
      <c r="B636" t="str">
        <f ca="1"/>
        <v>- O636：工程表Excelファイル_80（現在の内容：""）</v>
      </c>
      <c r="M636">
        <v>80</v>
      </c>
      <c r="N636" t="s">
        <v>870</v>
      </c>
      <c r="O636" s="6" t="str">
        <v/>
      </c>
      <c r="P636" s="24" t="str">
        <v/>
      </c>
      <c r="Q636" s="24" t="str">
        <v/>
      </c>
      <c r="R636" t="s">
        <v>629</v>
      </c>
    </row>
    <row r="637" spans="1:18">
      <c r="A637" t="str">
        <v>637行</v>
      </c>
      <c r="B637" t="str">
        <f ca="1"/>
        <v>- O637：工程表Excelファイル_81（現在の内容：""）</v>
      </c>
      <c r="M637">
        <v>81</v>
      </c>
      <c r="N637" t="s">
        <v>871</v>
      </c>
      <c r="O637" s="6" t="str">
        <v/>
      </c>
      <c r="P637" s="24" t="str">
        <v/>
      </c>
      <c r="Q637" s="24" t="str">
        <v/>
      </c>
      <c r="R637" t="s">
        <v>629</v>
      </c>
    </row>
    <row r="638" spans="1:18">
      <c r="A638" t="str">
        <v>638行</v>
      </c>
      <c r="B638" t="str">
        <f ca="1"/>
        <v>- O638：工程表Excelファイル_82（現在の内容：""）</v>
      </c>
      <c r="M638">
        <v>82</v>
      </c>
      <c r="N638" t="s">
        <v>872</v>
      </c>
      <c r="O638" s="6" t="str">
        <v/>
      </c>
      <c r="P638" s="24" t="str">
        <v/>
      </c>
      <c r="Q638" s="24" t="str">
        <v/>
      </c>
      <c r="R638" t="s">
        <v>629</v>
      </c>
    </row>
    <row r="639" spans="1:18">
      <c r="A639" t="str">
        <v>639行</v>
      </c>
      <c r="B639" t="str">
        <f ca="1"/>
        <v>- O639：工程表Excelファイル_83（現在の内容：""）</v>
      </c>
      <c r="M639">
        <v>83</v>
      </c>
      <c r="N639" t="s">
        <v>873</v>
      </c>
      <c r="O639" s="6" t="str">
        <v/>
      </c>
      <c r="P639" s="24" t="str">
        <v/>
      </c>
      <c r="Q639" s="24" t="str">
        <v/>
      </c>
      <c r="R639" t="s">
        <v>629</v>
      </c>
    </row>
    <row r="640" spans="1:18">
      <c r="A640" t="str">
        <v>640行</v>
      </c>
      <c r="B640" t="str">
        <f ca="1"/>
        <v>- O640：工程表Excelファイル_84（現在の内容：""）</v>
      </c>
      <c r="M640">
        <v>84</v>
      </c>
      <c r="N640" t="s">
        <v>874</v>
      </c>
      <c r="O640" s="6" t="str">
        <v/>
      </c>
      <c r="P640" s="24" t="str">
        <v/>
      </c>
      <c r="Q640" s="24" t="str">
        <v/>
      </c>
      <c r="R640" t="s">
        <v>629</v>
      </c>
    </row>
    <row r="641" spans="1:18">
      <c r="A641" t="str">
        <v>641行</v>
      </c>
      <c r="B641" t="str">
        <f ca="1"/>
        <v>- O641：工程表Excelファイル_85（現在の内容：""）</v>
      </c>
      <c r="M641">
        <v>85</v>
      </c>
      <c r="N641" t="s">
        <v>875</v>
      </c>
      <c r="O641" s="6" t="str">
        <v/>
      </c>
      <c r="P641" s="24" t="str">
        <v/>
      </c>
      <c r="Q641" s="24" t="str">
        <v/>
      </c>
      <c r="R641" t="s">
        <v>629</v>
      </c>
    </row>
    <row r="642" spans="1:18">
      <c r="A642" t="str">
        <v>642行</v>
      </c>
      <c r="B642" t="str">
        <f ca="1"/>
        <v>- O642：工程表Excelファイル_86（現在の内容：""）</v>
      </c>
      <c r="M642">
        <v>86</v>
      </c>
      <c r="N642" t="s">
        <v>876</v>
      </c>
      <c r="O642" s="6" t="str">
        <v/>
      </c>
      <c r="P642" s="24" t="str">
        <v/>
      </c>
      <c r="Q642" s="24" t="str">
        <v/>
      </c>
      <c r="R642" t="s">
        <v>629</v>
      </c>
    </row>
    <row r="643" spans="1:18">
      <c r="A643" t="str">
        <v>643行</v>
      </c>
      <c r="B643" t="str">
        <f ca="1"/>
        <v>- O643：工程表Excelファイル_87（現在の内容：""）</v>
      </c>
      <c r="M643">
        <v>87</v>
      </c>
      <c r="N643" t="s">
        <v>877</v>
      </c>
      <c r="O643" s="6" t="str">
        <v/>
      </c>
      <c r="P643" s="24" t="str">
        <v/>
      </c>
      <c r="Q643" s="24" t="str">
        <v/>
      </c>
      <c r="R643" t="s">
        <v>629</v>
      </c>
    </row>
    <row r="644" spans="1:18">
      <c r="A644" t="str">
        <v>644行</v>
      </c>
      <c r="B644" t="str">
        <f ca="1"/>
        <v>- O644：工程表Excelファイル_88（現在の内容：""）</v>
      </c>
      <c r="M644">
        <v>88</v>
      </c>
      <c r="N644" t="s">
        <v>878</v>
      </c>
      <c r="O644" s="6" t="str">
        <v/>
      </c>
      <c r="P644" s="24" t="str">
        <v/>
      </c>
      <c r="Q644" s="24" t="str">
        <v/>
      </c>
      <c r="R644" t="s">
        <v>629</v>
      </c>
    </row>
    <row r="645" spans="1:18">
      <c r="A645" t="str">
        <v>645行</v>
      </c>
      <c r="B645" t="str">
        <f ca="1"/>
        <v>- O645：工程表Excelファイル_89（現在の内容：""）</v>
      </c>
      <c r="M645">
        <v>89</v>
      </c>
      <c r="N645" t="s">
        <v>879</v>
      </c>
      <c r="O645" s="6" t="str">
        <v/>
      </c>
      <c r="P645" s="24" t="str">
        <v/>
      </c>
      <c r="Q645" s="24" t="str">
        <v/>
      </c>
      <c r="R645" t="s">
        <v>629</v>
      </c>
    </row>
    <row r="646" spans="1:18">
      <c r="A646" t="str">
        <v>646行</v>
      </c>
      <c r="B646" t="str">
        <f ca="1"/>
        <v>- O646：工程表Excelファイル_90（現在の内容：""）</v>
      </c>
      <c r="M646">
        <v>90</v>
      </c>
      <c r="N646" t="s">
        <v>880</v>
      </c>
      <c r="O646" s="6" t="str">
        <v/>
      </c>
      <c r="P646" s="24" t="str">
        <v/>
      </c>
      <c r="Q646" s="24" t="str">
        <v/>
      </c>
      <c r="R646" t="s">
        <v>629</v>
      </c>
    </row>
    <row r="647" spans="1:18">
      <c r="A647" t="str">
        <v>647行</v>
      </c>
      <c r="B647" t="str">
        <f ca="1"/>
        <v>- O647：工程表Excelファイル_91（現在の内容：""）</v>
      </c>
      <c r="M647">
        <v>91</v>
      </c>
      <c r="N647" t="s">
        <v>881</v>
      </c>
      <c r="O647" s="6" t="str">
        <v/>
      </c>
      <c r="P647" s="24" t="str">
        <v/>
      </c>
      <c r="Q647" s="24" t="str">
        <v/>
      </c>
      <c r="R647" t="s">
        <v>629</v>
      </c>
    </row>
    <row r="648" spans="1:18">
      <c r="A648" t="str">
        <v>648行</v>
      </c>
      <c r="B648" t="str">
        <f ca="1"/>
        <v>- O648：工程表Excelファイル_92（現在の内容：""）</v>
      </c>
      <c r="M648">
        <v>92</v>
      </c>
      <c r="N648" t="s">
        <v>882</v>
      </c>
      <c r="O648" s="6" t="str">
        <v/>
      </c>
      <c r="P648" s="24" t="str">
        <v/>
      </c>
      <c r="Q648" s="24" t="str">
        <v/>
      </c>
      <c r="R648" t="s">
        <v>629</v>
      </c>
    </row>
    <row r="649" spans="1:18">
      <c r="A649" t="str">
        <v>649行</v>
      </c>
      <c r="B649" t="str">
        <f ca="1"/>
        <v>- O649：工程表Excelファイル_93（現在の内容：""）</v>
      </c>
      <c r="M649">
        <v>93</v>
      </c>
      <c r="N649" t="s">
        <v>883</v>
      </c>
      <c r="O649" s="6" t="str">
        <v/>
      </c>
      <c r="P649" s="24" t="str">
        <v/>
      </c>
      <c r="Q649" s="24" t="str">
        <v/>
      </c>
      <c r="R649" t="s">
        <v>629</v>
      </c>
    </row>
    <row r="650" spans="1:18">
      <c r="A650" t="str">
        <v>650行</v>
      </c>
      <c r="B650" t="str">
        <f ca="1"/>
        <v>- O650：工程表Excelファイル_94（現在の内容：""）</v>
      </c>
      <c r="M650">
        <v>94</v>
      </c>
      <c r="N650" t="s">
        <v>884</v>
      </c>
      <c r="O650" s="6" t="str">
        <v/>
      </c>
      <c r="P650" s="24" t="str">
        <v/>
      </c>
      <c r="Q650" s="24" t="str">
        <v/>
      </c>
      <c r="R650" t="s">
        <v>629</v>
      </c>
    </row>
    <row r="651" spans="1:18">
      <c r="A651" t="str">
        <v>651行</v>
      </c>
      <c r="B651" t="str">
        <f ca="1"/>
        <v>- O651：工程表Excelファイル_95（現在の内容：""）</v>
      </c>
      <c r="M651">
        <v>95</v>
      </c>
      <c r="N651" t="s">
        <v>885</v>
      </c>
      <c r="O651" s="6" t="str">
        <v/>
      </c>
      <c r="P651" s="24" t="str">
        <v/>
      </c>
      <c r="Q651" s="24" t="str">
        <v/>
      </c>
      <c r="R651" t="s">
        <v>629</v>
      </c>
    </row>
    <row r="652" spans="1:18">
      <c r="A652" t="str">
        <v>652行</v>
      </c>
      <c r="B652" t="str">
        <f ca="1"/>
        <v>- O652：工程表Excelファイル_96（現在の内容：""）</v>
      </c>
      <c r="M652">
        <v>96</v>
      </c>
      <c r="N652" t="s">
        <v>886</v>
      </c>
      <c r="O652" s="6" t="str">
        <v/>
      </c>
      <c r="P652" s="24" t="str">
        <v/>
      </c>
      <c r="Q652" s="24" t="str">
        <v/>
      </c>
      <c r="R652" t="s">
        <v>629</v>
      </c>
    </row>
    <row r="653" spans="1:18">
      <c r="A653" t="str">
        <v>653行</v>
      </c>
      <c r="B653" t="str">
        <f ca="1"/>
        <v>- O653：工程表Excelファイル_97（現在の内容：""）</v>
      </c>
      <c r="M653">
        <v>97</v>
      </c>
      <c r="N653" t="s">
        <v>887</v>
      </c>
      <c r="O653" s="6" t="str">
        <v/>
      </c>
      <c r="P653" s="24" t="str">
        <v/>
      </c>
      <c r="Q653" s="24" t="str">
        <v/>
      </c>
      <c r="R653" t="s">
        <v>629</v>
      </c>
    </row>
    <row r="654" spans="1:18">
      <c r="A654" t="str">
        <v>654行</v>
      </c>
      <c r="B654" t="str">
        <f ca="1"/>
        <v>- O654：工程表Excelファイル_98（現在の内容：""）</v>
      </c>
      <c r="M654">
        <v>98</v>
      </c>
      <c r="N654" t="s">
        <v>888</v>
      </c>
      <c r="O654" s="6" t="str">
        <v/>
      </c>
      <c r="P654" s="24" t="str">
        <v/>
      </c>
      <c r="Q654" s="24" t="str">
        <v/>
      </c>
      <c r="R654" t="s">
        <v>629</v>
      </c>
    </row>
    <row r="655" spans="1:18">
      <c r="A655" t="str">
        <v>655行</v>
      </c>
      <c r="B655" t="str">
        <f ca="1"/>
        <v>- O655：工程表Excelファイル_99（現在の内容：""）</v>
      </c>
      <c r="M655">
        <v>99</v>
      </c>
      <c r="N655" t="s">
        <v>889</v>
      </c>
      <c r="O655" s="6" t="str">
        <v/>
      </c>
      <c r="P655" s="24" t="str">
        <v/>
      </c>
      <c r="Q655" s="24" t="str">
        <v/>
      </c>
      <c r="R655" t="s">
        <v>629</v>
      </c>
    </row>
    <row r="656" spans="1:18">
      <c r="A656" t="str">
        <v>656行</v>
      </c>
      <c r="B656" t="str">
        <f ca="1"/>
        <v>- O656：工程表Excelファイル_100（現在の内容：""）</v>
      </c>
      <c r="M656">
        <v>100</v>
      </c>
      <c r="N656" t="s">
        <v>890</v>
      </c>
      <c r="O656" s="6" t="str">
        <v/>
      </c>
      <c r="P656" s="24" t="str">
        <v/>
      </c>
      <c r="Q656" s="24" t="str">
        <v/>
      </c>
      <c r="R656" t="s">
        <v>629</v>
      </c>
    </row>
    <row r="657" spans="1:18">
      <c r="A657" t="str">
        <v>657行</v>
      </c>
      <c r="B657" t="str">
        <f ca="1"/>
        <v>- O657：工程表Excelファイル_101（現在の内容：""）</v>
      </c>
      <c r="M657">
        <v>101</v>
      </c>
      <c r="N657" t="s">
        <v>1015</v>
      </c>
      <c r="O657" s="6" t="str">
        <v/>
      </c>
      <c r="P657" s="24" t="str">
        <v/>
      </c>
      <c r="Q657" s="24" t="str">
        <v/>
      </c>
      <c r="R657" t="s">
        <v>629</v>
      </c>
    </row>
    <row r="658" spans="1:18">
      <c r="A658" t="str">
        <v>658行</v>
      </c>
      <c r="B658" t="str">
        <f ca="1"/>
        <v>- O658：工程表Excelファイル_102（現在の内容：""）</v>
      </c>
      <c r="M658">
        <v>102</v>
      </c>
      <c r="N658" t="s">
        <v>1016</v>
      </c>
      <c r="O658" s="6" t="str">
        <v/>
      </c>
      <c r="P658" s="24" t="str">
        <v/>
      </c>
      <c r="Q658" s="24" t="str">
        <v/>
      </c>
      <c r="R658" t="s">
        <v>629</v>
      </c>
    </row>
    <row r="659" spans="1:18">
      <c r="A659" t="str">
        <v>659行</v>
      </c>
      <c r="B659" t="str">
        <f ca="1"/>
        <v>- O659：工程表Excelファイル_103（現在の内容：""）</v>
      </c>
      <c r="M659">
        <v>103</v>
      </c>
      <c r="N659" t="s">
        <v>1017</v>
      </c>
      <c r="O659" s="6" t="str">
        <v/>
      </c>
      <c r="P659" s="24" t="str">
        <v/>
      </c>
      <c r="Q659" s="24" t="str">
        <v/>
      </c>
      <c r="R659" t="s">
        <v>629</v>
      </c>
    </row>
    <row r="660" spans="1:18">
      <c r="A660" t="str">
        <v>660行</v>
      </c>
      <c r="B660" t="str">
        <f ca="1"/>
        <v>- O660：工程表Excelファイル_104（現在の内容：""）</v>
      </c>
      <c r="M660">
        <v>104</v>
      </c>
      <c r="N660" t="s">
        <v>1018</v>
      </c>
      <c r="O660" s="6" t="str">
        <v/>
      </c>
      <c r="P660" s="24" t="str">
        <v/>
      </c>
      <c r="Q660" s="24" t="str">
        <v/>
      </c>
      <c r="R660" t="s">
        <v>629</v>
      </c>
    </row>
    <row r="661" spans="1:18">
      <c r="A661" t="str">
        <v>661行</v>
      </c>
      <c r="B661" t="str">
        <f ca="1"/>
        <v>- O661：工程表Excelファイル_105（現在の内容：""）</v>
      </c>
      <c r="M661">
        <v>105</v>
      </c>
      <c r="N661" t="s">
        <v>1019</v>
      </c>
      <c r="O661" s="6" t="str">
        <v/>
      </c>
      <c r="P661" s="24" t="str">
        <v/>
      </c>
      <c r="Q661" s="24" t="str">
        <v/>
      </c>
      <c r="R661" t="s">
        <v>629</v>
      </c>
    </row>
    <row r="662" spans="1:18">
      <c r="A662" t="str">
        <v>662行</v>
      </c>
      <c r="B662" t="str">
        <f ca="1"/>
        <v>- O662：工程表Excelファイル_106（現在の内容：""）</v>
      </c>
      <c r="M662">
        <v>106</v>
      </c>
      <c r="N662" t="s">
        <v>1020</v>
      </c>
      <c r="O662" s="6" t="str">
        <v/>
      </c>
      <c r="P662" s="24" t="str">
        <v/>
      </c>
      <c r="Q662" s="24" t="str">
        <v/>
      </c>
      <c r="R662" t="s">
        <v>629</v>
      </c>
    </row>
    <row r="663" spans="1:18">
      <c r="A663" t="str">
        <v>663行</v>
      </c>
      <c r="B663" t="str">
        <f ca="1"/>
        <v>- O663：工程表Excelファイル_107（現在の内容：""）</v>
      </c>
      <c r="M663">
        <v>107</v>
      </c>
      <c r="N663" t="s">
        <v>1021</v>
      </c>
      <c r="O663" s="6" t="str">
        <v/>
      </c>
      <c r="P663" s="24" t="str">
        <v/>
      </c>
      <c r="Q663" s="24" t="str">
        <v/>
      </c>
      <c r="R663" t="s">
        <v>629</v>
      </c>
    </row>
    <row r="664" spans="1:18">
      <c r="A664" t="str">
        <v>664行</v>
      </c>
      <c r="B664" t="str">
        <f ca="1"/>
        <v>- O664：工程表Excelファイル_108（現在の内容：""）</v>
      </c>
      <c r="M664">
        <v>108</v>
      </c>
      <c r="N664" t="s">
        <v>1022</v>
      </c>
      <c r="O664" s="6" t="str">
        <v/>
      </c>
      <c r="P664" s="24" t="str">
        <v/>
      </c>
      <c r="Q664" s="24" t="str">
        <v/>
      </c>
      <c r="R664" t="s">
        <v>629</v>
      </c>
    </row>
    <row r="665" spans="1:18">
      <c r="A665" t="str">
        <v>665行</v>
      </c>
      <c r="B665" t="str">
        <f ca="1"/>
        <v>- O665：工程表Excelファイル_109（現在の内容：""）</v>
      </c>
      <c r="M665">
        <v>109</v>
      </c>
      <c r="N665" t="s">
        <v>1023</v>
      </c>
      <c r="O665" s="6" t="str">
        <v/>
      </c>
      <c r="P665" s="24" t="str">
        <v/>
      </c>
      <c r="Q665" s="24" t="str">
        <v/>
      </c>
      <c r="R665" t="s">
        <v>629</v>
      </c>
    </row>
    <row r="666" spans="1:18">
      <c r="A666" t="str">
        <v>666行</v>
      </c>
      <c r="B666" t="str">
        <f ca="1"/>
        <v>- O666：工程表Excelファイル_110（現在の内容：""）</v>
      </c>
      <c r="M666">
        <v>110</v>
      </c>
      <c r="N666" t="s">
        <v>1024</v>
      </c>
      <c r="O666" s="6" t="str">
        <v/>
      </c>
      <c r="P666" s="24" t="str">
        <v/>
      </c>
      <c r="Q666" s="24" t="str">
        <v/>
      </c>
      <c r="R666" t="s">
        <v>629</v>
      </c>
    </row>
    <row r="667" spans="1:18">
      <c r="A667" t="str">
        <v>667行</v>
      </c>
      <c r="B667" t="str">
        <f ca="1"/>
        <v>- O667：工程表Excelファイル_111（現在の内容：""）</v>
      </c>
      <c r="M667">
        <v>111</v>
      </c>
      <c r="N667" t="s">
        <v>1025</v>
      </c>
      <c r="O667" s="6" t="str">
        <v/>
      </c>
      <c r="P667" s="24" t="str">
        <v/>
      </c>
      <c r="Q667" s="24" t="str">
        <v/>
      </c>
      <c r="R667" t="s">
        <v>629</v>
      </c>
    </row>
    <row r="668" spans="1:18">
      <c r="A668" t="str">
        <v>668行</v>
      </c>
      <c r="B668" t="str">
        <f ca="1"/>
        <v>- O668：工程表Excelファイル_112（現在の内容：""）</v>
      </c>
      <c r="M668">
        <v>112</v>
      </c>
      <c r="N668" t="s">
        <v>1026</v>
      </c>
      <c r="O668" s="6" t="str">
        <v/>
      </c>
      <c r="P668" s="24" t="str">
        <v/>
      </c>
      <c r="Q668" s="24" t="str">
        <v/>
      </c>
      <c r="R668" t="s">
        <v>629</v>
      </c>
    </row>
    <row r="669" spans="1:18">
      <c r="A669" t="str">
        <v>669行</v>
      </c>
      <c r="B669" t="str">
        <f ca="1"/>
        <v>- O669：工程表Excelファイル_113（現在の内容：""）</v>
      </c>
      <c r="M669">
        <v>113</v>
      </c>
      <c r="N669" t="s">
        <v>1027</v>
      </c>
      <c r="O669" s="6" t="str">
        <v/>
      </c>
      <c r="P669" s="24" t="str">
        <v/>
      </c>
      <c r="Q669" s="24" t="str">
        <v/>
      </c>
      <c r="R669" t="s">
        <v>629</v>
      </c>
    </row>
    <row r="670" spans="1:18">
      <c r="A670" t="str">
        <v>670行</v>
      </c>
      <c r="B670" t="str">
        <f ca="1"/>
        <v>- O670：工程表Excelファイル_114（現在の内容：""）</v>
      </c>
      <c r="M670">
        <v>114</v>
      </c>
      <c r="N670" t="s">
        <v>1028</v>
      </c>
      <c r="O670" s="6" t="str">
        <v/>
      </c>
      <c r="P670" s="24" t="str">
        <v/>
      </c>
      <c r="Q670" s="24" t="str">
        <v/>
      </c>
      <c r="R670" t="s">
        <v>629</v>
      </c>
    </row>
    <row r="671" spans="1:18">
      <c r="A671" t="str">
        <v>671行</v>
      </c>
      <c r="B671" t="str">
        <f ca="1"/>
        <v>- O671：工程表Excelファイル_115（現在の内容：""）</v>
      </c>
      <c r="M671">
        <v>115</v>
      </c>
      <c r="N671" t="s">
        <v>1029</v>
      </c>
      <c r="O671" s="6" t="str">
        <v/>
      </c>
      <c r="P671" s="24" t="str">
        <v/>
      </c>
      <c r="Q671" s="24" t="str">
        <v/>
      </c>
      <c r="R671" t="s">
        <v>629</v>
      </c>
    </row>
    <row r="672" spans="1:18">
      <c r="A672" t="str">
        <v>672行</v>
      </c>
      <c r="B672" t="str">
        <f ca="1"/>
        <v>- O672：工程表Excelファイル_116（現在の内容：""）</v>
      </c>
      <c r="M672">
        <v>116</v>
      </c>
      <c r="N672" t="s">
        <v>1030</v>
      </c>
      <c r="O672" s="6" t="str">
        <v/>
      </c>
      <c r="P672" s="24" t="str">
        <v/>
      </c>
      <c r="Q672" s="24" t="str">
        <v/>
      </c>
      <c r="R672" t="s">
        <v>629</v>
      </c>
    </row>
    <row r="673" spans="1:18">
      <c r="A673" t="str">
        <v>673行</v>
      </c>
      <c r="B673" t="str">
        <f ca="1"/>
        <v>- O673：工程表Excelファイル_117（現在の内容：""）</v>
      </c>
      <c r="M673">
        <v>117</v>
      </c>
      <c r="N673" t="s">
        <v>1031</v>
      </c>
      <c r="O673" s="6" t="str">
        <v/>
      </c>
      <c r="P673" s="24" t="str">
        <v/>
      </c>
      <c r="Q673" s="24" t="str">
        <v/>
      </c>
      <c r="R673" t="s">
        <v>629</v>
      </c>
    </row>
    <row r="674" spans="1:18">
      <c r="A674" t="str">
        <v>674行</v>
      </c>
      <c r="B674" t="str">
        <f ca="1"/>
        <v>- O674：工程表Excelファイル_118（現在の内容：""）</v>
      </c>
      <c r="M674">
        <v>118</v>
      </c>
      <c r="N674" t="s">
        <v>1032</v>
      </c>
      <c r="O674" s="6" t="str">
        <v/>
      </c>
      <c r="P674" s="24" t="str">
        <v/>
      </c>
      <c r="Q674" s="24" t="str">
        <v/>
      </c>
      <c r="R674" t="s">
        <v>629</v>
      </c>
    </row>
    <row r="675" spans="1:18">
      <c r="A675" t="str">
        <v>675行</v>
      </c>
      <c r="B675" t="str">
        <f ca="1"/>
        <v>- O675：工程表Excelファイル_119（現在の内容：""）</v>
      </c>
      <c r="M675">
        <v>119</v>
      </c>
      <c r="N675" t="s">
        <v>1033</v>
      </c>
      <c r="O675" s="6" t="str">
        <v/>
      </c>
      <c r="P675" s="24" t="str">
        <v/>
      </c>
      <c r="Q675" s="24" t="str">
        <v/>
      </c>
      <c r="R675" t="s">
        <v>629</v>
      </c>
    </row>
    <row r="676" spans="1:18">
      <c r="A676" t="str">
        <v>676行</v>
      </c>
      <c r="B676" t="str">
        <f ca="1"/>
        <v>- O676：工程表Excelファイル_120（現在の内容：""）</v>
      </c>
      <c r="M676">
        <v>120</v>
      </c>
      <c r="N676" t="s">
        <v>1034</v>
      </c>
      <c r="O676" s="6" t="str">
        <v/>
      </c>
      <c r="P676" s="24" t="str">
        <v/>
      </c>
      <c r="Q676" s="24" t="str">
        <v/>
      </c>
      <c r="R676" t="s">
        <v>629</v>
      </c>
    </row>
    <row r="677" spans="1:18">
      <c r="A677" t="str">
        <v>677行</v>
      </c>
      <c r="B677" t="str">
        <f ca="1"/>
        <v>- O677：工程表Excelファイル_121（現在の内容：""）</v>
      </c>
      <c r="M677">
        <v>121</v>
      </c>
      <c r="N677" t="s">
        <v>1035</v>
      </c>
      <c r="O677" s="6" t="str">
        <v/>
      </c>
      <c r="P677" s="24" t="str">
        <v/>
      </c>
      <c r="Q677" s="24" t="str">
        <v/>
      </c>
      <c r="R677" t="s">
        <v>629</v>
      </c>
    </row>
    <row r="678" spans="1:18">
      <c r="A678" t="str">
        <v>678行</v>
      </c>
      <c r="B678" t="str">
        <f ca="1"/>
        <v>- O678：工程表Excelファイル_122（現在の内容：""）</v>
      </c>
      <c r="M678">
        <v>122</v>
      </c>
      <c r="N678" t="s">
        <v>1036</v>
      </c>
      <c r="O678" s="6" t="str">
        <v/>
      </c>
      <c r="P678" s="24" t="str">
        <v/>
      </c>
      <c r="Q678" s="24" t="str">
        <v/>
      </c>
      <c r="R678" t="s">
        <v>629</v>
      </c>
    </row>
    <row r="679" spans="1:18">
      <c r="A679" t="str">
        <v>679行</v>
      </c>
      <c r="B679" t="str">
        <f ca="1"/>
        <v>- O679：工程表Excelファイル_123（現在の内容：""）</v>
      </c>
      <c r="M679">
        <v>123</v>
      </c>
      <c r="N679" t="s">
        <v>1037</v>
      </c>
      <c r="O679" s="6" t="str">
        <v/>
      </c>
      <c r="P679" s="24" t="str">
        <v/>
      </c>
      <c r="Q679" s="24" t="str">
        <v/>
      </c>
      <c r="R679" t="s">
        <v>629</v>
      </c>
    </row>
    <row r="680" spans="1:18">
      <c r="A680" t="str">
        <v>680行</v>
      </c>
      <c r="B680" t="str">
        <f ca="1"/>
        <v>- O680：工程表Excelファイル_124（現在の内容：""）</v>
      </c>
      <c r="M680">
        <v>124</v>
      </c>
      <c r="N680" t="s">
        <v>1038</v>
      </c>
      <c r="O680" s="6" t="str">
        <v/>
      </c>
      <c r="P680" s="24" t="str">
        <v/>
      </c>
      <c r="Q680" s="24" t="str">
        <v/>
      </c>
      <c r="R680" t="s">
        <v>629</v>
      </c>
    </row>
    <row r="681" spans="1:18">
      <c r="A681" t="str">
        <v>681行</v>
      </c>
      <c r="B681" t="str">
        <f ca="1"/>
        <v>- O681：工程表Excelファイル_125（現在の内容：""）</v>
      </c>
      <c r="M681">
        <v>125</v>
      </c>
      <c r="N681" t="s">
        <v>1039</v>
      </c>
      <c r="O681" s="6" t="str">
        <v/>
      </c>
      <c r="P681" s="24" t="str">
        <v/>
      </c>
      <c r="Q681" s="24" t="str">
        <v/>
      </c>
      <c r="R681" t="s">
        <v>629</v>
      </c>
    </row>
    <row r="682" spans="1:18">
      <c r="A682" t="str">
        <v>682行</v>
      </c>
      <c r="B682" t="str">
        <f ca="1"/>
        <v>- O682：工程表Excelファイル_126（現在の内容：""）</v>
      </c>
      <c r="M682">
        <v>126</v>
      </c>
      <c r="N682" t="s">
        <v>1040</v>
      </c>
      <c r="O682" s="6" t="str">
        <v/>
      </c>
      <c r="P682" s="24" t="str">
        <v/>
      </c>
      <c r="Q682" s="24" t="str">
        <v/>
      </c>
      <c r="R682" t="s">
        <v>629</v>
      </c>
    </row>
    <row r="683" spans="1:18">
      <c r="A683" t="str">
        <v>683行</v>
      </c>
      <c r="B683" t="str">
        <f ca="1"/>
        <v>- O683：工程表Excelファイル_127（現在の内容：""）</v>
      </c>
      <c r="M683">
        <v>127</v>
      </c>
      <c r="N683" t="s">
        <v>1041</v>
      </c>
      <c r="O683" s="6" t="str">
        <v/>
      </c>
      <c r="P683" s="24" t="str">
        <v/>
      </c>
      <c r="Q683" s="24" t="str">
        <v/>
      </c>
      <c r="R683" t="s">
        <v>629</v>
      </c>
    </row>
    <row r="684" spans="1:18">
      <c r="A684" t="str">
        <v>684行</v>
      </c>
      <c r="B684" t="str">
        <f ca="1"/>
        <v>- O684：工程表Excelファイル_128（現在の内容：""）</v>
      </c>
      <c r="M684">
        <v>128</v>
      </c>
      <c r="N684" t="s">
        <v>1042</v>
      </c>
      <c r="O684" s="6" t="str">
        <v/>
      </c>
      <c r="P684" s="24" t="str">
        <v/>
      </c>
      <c r="Q684" s="24" t="str">
        <v/>
      </c>
      <c r="R684" t="s">
        <v>629</v>
      </c>
    </row>
    <row r="685" spans="1:18">
      <c r="A685" t="str">
        <v>685行</v>
      </c>
      <c r="B685" t="str">
        <f ca="1"/>
        <v>- O685：工程表Excelファイル_129（現在の内容：""）</v>
      </c>
      <c r="M685">
        <v>129</v>
      </c>
      <c r="N685" t="s">
        <v>1043</v>
      </c>
      <c r="O685" s="6" t="str">
        <v/>
      </c>
      <c r="P685" s="24" t="str">
        <v/>
      </c>
      <c r="Q685" s="24" t="str">
        <v/>
      </c>
      <c r="R685" t="s">
        <v>629</v>
      </c>
    </row>
    <row r="686" spans="1:18">
      <c r="A686" t="str">
        <v>686行</v>
      </c>
      <c r="B686" t="str">
        <f ca="1"/>
        <v>- O686：工程表Excelファイル_130（現在の内容：""）</v>
      </c>
      <c r="M686">
        <v>130</v>
      </c>
      <c r="N686" t="s">
        <v>1044</v>
      </c>
      <c r="O686" s="6" t="str">
        <v/>
      </c>
      <c r="P686" s="24" t="str">
        <v/>
      </c>
      <c r="Q686" s="24" t="str">
        <v/>
      </c>
      <c r="R686" t="s">
        <v>629</v>
      </c>
    </row>
    <row r="687" spans="1:18">
      <c r="A687" t="str">
        <v>687行</v>
      </c>
      <c r="B687" t="str">
        <f ca="1"/>
        <v>- O687：工程表Excelファイル_131（現在の内容：""）</v>
      </c>
      <c r="M687">
        <v>131</v>
      </c>
      <c r="N687" t="s">
        <v>1045</v>
      </c>
      <c r="O687" s="6" t="str">
        <v/>
      </c>
      <c r="P687" s="24" t="str">
        <v/>
      </c>
      <c r="Q687" s="24" t="str">
        <v/>
      </c>
      <c r="R687" t="s">
        <v>629</v>
      </c>
    </row>
    <row r="688" spans="1:18">
      <c r="A688" t="str">
        <v>688行</v>
      </c>
      <c r="B688" t="str">
        <f ca="1"/>
        <v>- O688：工程表Excelファイル_132（現在の内容：""）</v>
      </c>
      <c r="M688">
        <v>132</v>
      </c>
      <c r="N688" t="s">
        <v>1046</v>
      </c>
      <c r="O688" s="6" t="str">
        <v/>
      </c>
      <c r="P688" s="24" t="str">
        <v/>
      </c>
      <c r="Q688" s="24" t="str">
        <v/>
      </c>
      <c r="R688" t="s">
        <v>629</v>
      </c>
    </row>
    <row r="689" spans="1:18">
      <c r="A689" t="str">
        <v>689行</v>
      </c>
      <c r="B689" t="str">
        <f ca="1"/>
        <v>- O689：工程表Excelファイル_133（現在の内容：""）</v>
      </c>
      <c r="M689">
        <v>133</v>
      </c>
      <c r="N689" t="s">
        <v>1047</v>
      </c>
      <c r="O689" s="6" t="str">
        <v/>
      </c>
      <c r="P689" s="24" t="str">
        <v/>
      </c>
      <c r="Q689" s="24" t="str">
        <v/>
      </c>
      <c r="R689" t="s">
        <v>629</v>
      </c>
    </row>
    <row r="690" spans="1:18">
      <c r="A690" t="str">
        <v>690行</v>
      </c>
      <c r="B690" t="str">
        <f ca="1"/>
        <v>- O690：工程表Excelファイル_134（現在の内容：""）</v>
      </c>
      <c r="M690">
        <v>134</v>
      </c>
      <c r="N690" t="s">
        <v>1048</v>
      </c>
      <c r="O690" s="6" t="str">
        <v/>
      </c>
      <c r="P690" s="24" t="str">
        <v/>
      </c>
      <c r="Q690" s="24" t="str">
        <v/>
      </c>
      <c r="R690" t="s">
        <v>629</v>
      </c>
    </row>
    <row r="691" spans="1:18">
      <c r="A691" t="str">
        <v>691行</v>
      </c>
      <c r="B691" t="str">
        <f ca="1"/>
        <v>- O691：工程表Excelファイル_135（現在の内容：""）</v>
      </c>
      <c r="M691">
        <v>135</v>
      </c>
      <c r="N691" t="s">
        <v>1049</v>
      </c>
      <c r="O691" s="6" t="str">
        <v/>
      </c>
      <c r="P691" s="24" t="str">
        <v/>
      </c>
      <c r="Q691" s="24" t="str">
        <v/>
      </c>
      <c r="R691" t="s">
        <v>629</v>
      </c>
    </row>
    <row r="692" spans="1:18">
      <c r="A692" t="str">
        <v>692行</v>
      </c>
      <c r="B692" t="str">
        <f ca="1"/>
        <v>- O692：工程表Excelファイル_136（現在の内容：""）</v>
      </c>
      <c r="M692">
        <v>136</v>
      </c>
      <c r="N692" t="s">
        <v>1050</v>
      </c>
      <c r="O692" s="6" t="str">
        <v/>
      </c>
      <c r="P692" s="24" t="str">
        <v/>
      </c>
      <c r="Q692" s="24" t="str">
        <v/>
      </c>
      <c r="R692" t="s">
        <v>629</v>
      </c>
    </row>
    <row r="693" spans="1:18">
      <c r="A693" t="str">
        <v>693行</v>
      </c>
      <c r="B693" t="str">
        <f ca="1"/>
        <v>- O693：工程表Excelファイル_137（現在の内容：""）</v>
      </c>
      <c r="M693">
        <v>137</v>
      </c>
      <c r="N693" t="s">
        <v>1051</v>
      </c>
      <c r="O693" s="6" t="str">
        <v/>
      </c>
      <c r="P693" s="24" t="str">
        <v/>
      </c>
      <c r="Q693" s="24" t="str">
        <v/>
      </c>
      <c r="R693" t="s">
        <v>629</v>
      </c>
    </row>
    <row r="694" spans="1:18">
      <c r="A694" t="str">
        <v>694行</v>
      </c>
      <c r="B694" t="str">
        <f ca="1"/>
        <v>- O694：工程表Excelファイル_138（現在の内容：""）</v>
      </c>
      <c r="M694">
        <v>138</v>
      </c>
      <c r="N694" t="s">
        <v>1052</v>
      </c>
      <c r="O694" s="6" t="str">
        <v/>
      </c>
      <c r="P694" s="24" t="str">
        <v/>
      </c>
      <c r="Q694" s="24" t="str">
        <v/>
      </c>
      <c r="R694" t="s">
        <v>629</v>
      </c>
    </row>
    <row r="695" spans="1:18">
      <c r="A695" t="str">
        <v>695行</v>
      </c>
      <c r="B695" t="str">
        <f ca="1"/>
        <v>- O695：工程表Excelファイル_139（現在の内容：""）</v>
      </c>
      <c r="M695">
        <v>139</v>
      </c>
      <c r="N695" t="s">
        <v>1053</v>
      </c>
      <c r="O695" s="6" t="str">
        <v/>
      </c>
      <c r="P695" s="24" t="str">
        <v/>
      </c>
      <c r="Q695" s="24" t="str">
        <v/>
      </c>
      <c r="R695" t="s">
        <v>629</v>
      </c>
    </row>
    <row r="696" spans="1:18">
      <c r="A696" t="str">
        <v>696行</v>
      </c>
      <c r="B696" t="str">
        <f ca="1"/>
        <v>- O696：工程表Excelファイル_140（現在の内容：""）</v>
      </c>
      <c r="M696">
        <v>140</v>
      </c>
      <c r="N696" t="s">
        <v>1054</v>
      </c>
      <c r="O696" s="6" t="str">
        <v/>
      </c>
      <c r="P696" s="24" t="str">
        <v/>
      </c>
      <c r="Q696" s="24" t="str">
        <v/>
      </c>
      <c r="R696" t="s">
        <v>629</v>
      </c>
    </row>
    <row r="697" spans="1:18">
      <c r="A697" t="str">
        <v>697行</v>
      </c>
      <c r="B697" t="str">
        <f ca="1"/>
        <v>- O697：工程表Excelファイル_141（現在の内容：""）</v>
      </c>
      <c r="M697">
        <v>141</v>
      </c>
      <c r="N697" t="s">
        <v>1055</v>
      </c>
      <c r="O697" s="6" t="str">
        <v/>
      </c>
      <c r="P697" s="24" t="str">
        <v/>
      </c>
      <c r="Q697" s="24" t="str">
        <v/>
      </c>
      <c r="R697" t="s">
        <v>629</v>
      </c>
    </row>
    <row r="698" spans="1:18">
      <c r="A698" t="str">
        <v>698行</v>
      </c>
      <c r="B698" t="str">
        <f ca="1"/>
        <v>- O698：工程表Excelファイル_142（現在の内容：""）</v>
      </c>
      <c r="M698">
        <v>142</v>
      </c>
      <c r="N698" t="s">
        <v>1056</v>
      </c>
      <c r="O698" s="6" t="str">
        <v/>
      </c>
      <c r="P698" s="24" t="str">
        <v/>
      </c>
      <c r="Q698" s="24" t="str">
        <v/>
      </c>
      <c r="R698" t="s">
        <v>629</v>
      </c>
    </row>
    <row r="699" spans="1:18">
      <c r="A699" t="str">
        <v>699行</v>
      </c>
      <c r="B699" t="str">
        <f ca="1"/>
        <v>- O699：工程表Excelファイル_143（現在の内容：""）</v>
      </c>
      <c r="M699">
        <v>143</v>
      </c>
      <c r="N699" t="s">
        <v>1057</v>
      </c>
      <c r="O699" s="6" t="str">
        <v/>
      </c>
      <c r="P699" s="24" t="str">
        <v/>
      </c>
      <c r="Q699" s="24" t="str">
        <v/>
      </c>
      <c r="R699" t="s">
        <v>629</v>
      </c>
    </row>
    <row r="700" spans="1:18">
      <c r="A700" t="str">
        <v>700行</v>
      </c>
      <c r="B700" t="str">
        <f ca="1"/>
        <v>- O700：工程表Excelファイル_144（現在の内容：""）</v>
      </c>
      <c r="M700">
        <v>144</v>
      </c>
      <c r="N700" t="s">
        <v>1058</v>
      </c>
      <c r="O700" s="6" t="str">
        <v/>
      </c>
      <c r="P700" s="24" t="str">
        <v/>
      </c>
      <c r="Q700" s="24" t="str">
        <v/>
      </c>
      <c r="R700" t="s">
        <v>629</v>
      </c>
    </row>
    <row r="701" spans="1:18">
      <c r="A701" t="str">
        <v>701行</v>
      </c>
      <c r="B701" t="str">
        <f ca="1"/>
        <v>- O701：工程表Excelファイル_145（現在の内容：""）</v>
      </c>
      <c r="M701">
        <v>145</v>
      </c>
      <c r="N701" t="s">
        <v>1059</v>
      </c>
      <c r="O701" s="6" t="str">
        <v/>
      </c>
      <c r="P701" s="24" t="str">
        <v/>
      </c>
      <c r="Q701" s="24" t="str">
        <v/>
      </c>
      <c r="R701" t="s">
        <v>629</v>
      </c>
    </row>
    <row r="702" spans="1:18">
      <c r="A702" t="str">
        <v>702行</v>
      </c>
      <c r="B702" t="str">
        <f ca="1"/>
        <v>- O702：工程表Excelファイル_146（現在の内容：""）</v>
      </c>
      <c r="M702">
        <v>146</v>
      </c>
      <c r="N702" t="s">
        <v>1060</v>
      </c>
      <c r="O702" s="6" t="str">
        <v/>
      </c>
      <c r="P702" s="24" t="str">
        <v/>
      </c>
      <c r="Q702" s="24" t="str">
        <v/>
      </c>
      <c r="R702" t="s">
        <v>629</v>
      </c>
    </row>
    <row r="703" spans="1:18">
      <c r="A703" t="str">
        <v>703行</v>
      </c>
      <c r="B703" t="str">
        <f ca="1"/>
        <v>- O703：工程表Excelファイル_147（現在の内容：""）</v>
      </c>
      <c r="M703">
        <v>147</v>
      </c>
      <c r="N703" t="s">
        <v>1061</v>
      </c>
      <c r="O703" s="6" t="str">
        <v/>
      </c>
      <c r="P703" s="24" t="str">
        <v/>
      </c>
      <c r="Q703" s="24" t="str">
        <v/>
      </c>
      <c r="R703" t="s">
        <v>629</v>
      </c>
    </row>
    <row r="704" spans="1:18">
      <c r="A704" t="str">
        <v>704行</v>
      </c>
      <c r="B704" t="str">
        <f ca="1"/>
        <v>- O704：工程表Excelファイル_148（現在の内容：""）</v>
      </c>
      <c r="M704">
        <v>148</v>
      </c>
      <c r="N704" t="s">
        <v>1062</v>
      </c>
      <c r="O704" s="6" t="str">
        <v/>
      </c>
      <c r="P704" s="24" t="str">
        <v/>
      </c>
      <c r="Q704" s="24" t="str">
        <v/>
      </c>
      <c r="R704" t="s">
        <v>629</v>
      </c>
    </row>
    <row r="705" spans="1:18">
      <c r="A705" t="str">
        <v>705行</v>
      </c>
      <c r="B705" t="str">
        <f ca="1"/>
        <v>- O705：工程表Excelファイル_149（現在の内容：""）</v>
      </c>
      <c r="M705">
        <v>149</v>
      </c>
      <c r="N705" t="s">
        <v>1063</v>
      </c>
      <c r="O705" s="6" t="str">
        <v/>
      </c>
      <c r="P705" s="24" t="str">
        <v/>
      </c>
      <c r="Q705" s="24" t="str">
        <v/>
      </c>
      <c r="R705" t="s">
        <v>629</v>
      </c>
    </row>
    <row r="706" spans="1:18">
      <c r="A706" t="str">
        <v>706行</v>
      </c>
      <c r="B706" t="str">
        <f ca="1"/>
        <v>- O706：工程表Excelファイル_150（現在の内容：""）</v>
      </c>
      <c r="M706">
        <v>150</v>
      </c>
      <c r="N706" t="s">
        <v>1064</v>
      </c>
      <c r="O706" s="6" t="str">
        <v/>
      </c>
      <c r="P706" s="24" t="str">
        <v/>
      </c>
      <c r="Q706" s="24" t="str">
        <v/>
      </c>
      <c r="R706" t="s">
        <v>629</v>
      </c>
    </row>
    <row r="707" spans="1:18">
      <c r="A707" t="str">
        <v>707行</v>
      </c>
      <c r="B707" t="str">
        <f ca="1"/>
        <v>- O707：工程表Excelファイル_151（現在の内容：""）</v>
      </c>
      <c r="M707">
        <v>151</v>
      </c>
      <c r="N707" t="s">
        <v>1065</v>
      </c>
      <c r="O707" s="6" t="str">
        <v/>
      </c>
      <c r="P707" s="24" t="str">
        <v/>
      </c>
      <c r="Q707" s="24" t="str">
        <v/>
      </c>
      <c r="R707" t="s">
        <v>629</v>
      </c>
    </row>
    <row r="708" spans="1:18">
      <c r="A708" t="str">
        <v>708行</v>
      </c>
      <c r="B708" t="str">
        <f ca="1"/>
        <v>- O708：工程表Excelファイル_152（現在の内容：""）</v>
      </c>
      <c r="M708">
        <v>152</v>
      </c>
      <c r="N708" t="s">
        <v>1066</v>
      </c>
      <c r="O708" s="6" t="str">
        <v/>
      </c>
      <c r="P708" s="24" t="str">
        <v/>
      </c>
      <c r="Q708" s="24" t="str">
        <v/>
      </c>
      <c r="R708" t="s">
        <v>629</v>
      </c>
    </row>
    <row r="709" spans="1:18">
      <c r="A709" t="str">
        <v>709行</v>
      </c>
      <c r="B709" t="str">
        <f ca="1"/>
        <v>- O709：工程表Excelファイル_153（現在の内容：""）</v>
      </c>
      <c r="M709">
        <v>153</v>
      </c>
      <c r="N709" t="s">
        <v>1067</v>
      </c>
      <c r="O709" s="6" t="str">
        <v/>
      </c>
      <c r="P709" s="24" t="str">
        <v/>
      </c>
      <c r="Q709" s="24" t="str">
        <v/>
      </c>
      <c r="R709" t="s">
        <v>629</v>
      </c>
    </row>
    <row r="710" spans="1:18">
      <c r="A710" t="str">
        <v>710行</v>
      </c>
      <c r="B710" t="str">
        <f ca="1"/>
        <v>- O710：工程表Excelファイル_154（現在の内容：""）</v>
      </c>
      <c r="M710">
        <v>154</v>
      </c>
      <c r="N710" t="s">
        <v>1068</v>
      </c>
      <c r="O710" s="6" t="str">
        <v/>
      </c>
      <c r="P710" s="24" t="str">
        <v/>
      </c>
      <c r="Q710" s="24" t="str">
        <v/>
      </c>
      <c r="R710" t="s">
        <v>629</v>
      </c>
    </row>
    <row r="711" spans="1:18">
      <c r="A711" t="str">
        <v>711行</v>
      </c>
      <c r="B711" t="str">
        <f ca="1"/>
        <v>- O711：工程表Excelファイル_155（現在の内容：""）</v>
      </c>
      <c r="M711">
        <v>155</v>
      </c>
      <c r="N711" t="s">
        <v>1069</v>
      </c>
      <c r="O711" s="6" t="str">
        <v/>
      </c>
      <c r="P711" s="24" t="str">
        <v/>
      </c>
      <c r="Q711" s="24" t="str">
        <v/>
      </c>
      <c r="R711" t="s">
        <v>629</v>
      </c>
    </row>
    <row r="712" spans="1:18">
      <c r="A712" t="str">
        <v>712行</v>
      </c>
      <c r="B712" t="str">
        <f ca="1"/>
        <v>- O712：工程表Excelファイル_156（現在の内容：""）</v>
      </c>
      <c r="M712">
        <v>156</v>
      </c>
      <c r="N712" t="s">
        <v>1070</v>
      </c>
      <c r="O712" s="6" t="str">
        <v/>
      </c>
      <c r="P712" s="24" t="str">
        <v/>
      </c>
      <c r="Q712" s="24" t="str">
        <v/>
      </c>
      <c r="R712" t="s">
        <v>629</v>
      </c>
    </row>
    <row r="713" spans="1:18">
      <c r="A713" t="str">
        <v>713行</v>
      </c>
      <c r="B713" t="str">
        <f ca="1"/>
        <v>- O713：工程表Excelファイル_157（現在の内容：""）</v>
      </c>
      <c r="M713">
        <v>157</v>
      </c>
      <c r="N713" t="s">
        <v>1071</v>
      </c>
      <c r="O713" s="6" t="str">
        <v/>
      </c>
      <c r="P713" s="24" t="str">
        <v/>
      </c>
      <c r="Q713" s="24" t="str">
        <v/>
      </c>
      <c r="R713" t="s">
        <v>629</v>
      </c>
    </row>
    <row r="714" spans="1:18">
      <c r="A714" t="str">
        <v>714行</v>
      </c>
      <c r="B714" t="str">
        <f ca="1"/>
        <v>- O714：工程表Excelファイル_158（現在の内容：""）</v>
      </c>
      <c r="M714">
        <v>158</v>
      </c>
      <c r="N714" t="s">
        <v>1072</v>
      </c>
      <c r="O714" s="6" t="str">
        <v/>
      </c>
      <c r="P714" s="24" t="str">
        <v/>
      </c>
      <c r="Q714" s="24" t="str">
        <v/>
      </c>
      <c r="R714" t="s">
        <v>629</v>
      </c>
    </row>
    <row r="715" spans="1:18">
      <c r="A715" t="str">
        <v>715行</v>
      </c>
      <c r="B715" t="str">
        <f ca="1"/>
        <v>- O715：工程表Excelファイル_159（現在の内容：""）</v>
      </c>
      <c r="M715">
        <v>159</v>
      </c>
      <c r="N715" t="s">
        <v>1073</v>
      </c>
      <c r="O715" s="6" t="str">
        <v/>
      </c>
      <c r="P715" s="24" t="str">
        <v/>
      </c>
      <c r="Q715" s="24" t="str">
        <v/>
      </c>
      <c r="R715" t="s">
        <v>629</v>
      </c>
    </row>
    <row r="716" spans="1:18">
      <c r="A716" t="str">
        <v>716行</v>
      </c>
      <c r="B716" t="str">
        <f ca="1"/>
        <v>- O716：工程表Excelファイル_160（現在の内容：""）</v>
      </c>
      <c r="M716">
        <v>160</v>
      </c>
      <c r="N716" t="s">
        <v>1074</v>
      </c>
      <c r="O716" s="6" t="str">
        <v/>
      </c>
      <c r="P716" s="24" t="str">
        <v/>
      </c>
      <c r="Q716" s="24" t="str">
        <v/>
      </c>
      <c r="R716" t="s">
        <v>629</v>
      </c>
    </row>
    <row r="717" spans="1:18">
      <c r="A717" t="str">
        <v>717行</v>
      </c>
      <c r="B717" t="str">
        <f ca="1"/>
        <v>- O717：工程表Excelファイル_161（現在の内容：""）</v>
      </c>
      <c r="M717">
        <v>161</v>
      </c>
      <c r="N717" t="s">
        <v>1075</v>
      </c>
      <c r="O717" s="6" t="str">
        <v/>
      </c>
      <c r="P717" s="24" t="str">
        <v/>
      </c>
      <c r="Q717" s="24" t="str">
        <v/>
      </c>
      <c r="R717" t="s">
        <v>629</v>
      </c>
    </row>
    <row r="718" spans="1:18">
      <c r="A718" t="str">
        <v>718行</v>
      </c>
      <c r="B718" t="str">
        <f ca="1"/>
        <v>- O718：工程表Excelファイル_162（現在の内容：""）</v>
      </c>
      <c r="M718">
        <v>162</v>
      </c>
      <c r="N718" t="s">
        <v>1076</v>
      </c>
      <c r="O718" s="6" t="str">
        <v/>
      </c>
      <c r="P718" s="24" t="str">
        <v/>
      </c>
      <c r="Q718" s="24" t="str">
        <v/>
      </c>
      <c r="R718" t="s">
        <v>629</v>
      </c>
    </row>
    <row r="719" spans="1:18">
      <c r="A719" t="str">
        <v>719行</v>
      </c>
      <c r="B719" t="str">
        <f ca="1"/>
        <v>- O719：工程表Excelファイル_163（現在の内容：""）</v>
      </c>
      <c r="M719">
        <v>163</v>
      </c>
      <c r="N719" t="s">
        <v>1077</v>
      </c>
      <c r="O719" s="6" t="str">
        <v/>
      </c>
      <c r="P719" s="24" t="str">
        <v/>
      </c>
      <c r="Q719" s="24" t="str">
        <v/>
      </c>
      <c r="R719" t="s">
        <v>629</v>
      </c>
    </row>
    <row r="720" spans="1:18">
      <c r="A720" t="str">
        <v>720行</v>
      </c>
      <c r="B720" t="str">
        <f ca="1"/>
        <v>- O720：工程表Excelファイル_164（現在の内容：""）</v>
      </c>
      <c r="M720">
        <v>164</v>
      </c>
      <c r="N720" t="s">
        <v>1078</v>
      </c>
      <c r="O720" s="6" t="str">
        <v/>
      </c>
      <c r="P720" s="24" t="str">
        <v/>
      </c>
      <c r="Q720" s="24" t="str">
        <v/>
      </c>
      <c r="R720" t="s">
        <v>629</v>
      </c>
    </row>
    <row r="721" spans="1:18">
      <c r="A721" t="str">
        <v>721行</v>
      </c>
      <c r="B721" t="str">
        <f ca="1"/>
        <v>- O721：工程表Excelファイル_165（現在の内容：""）</v>
      </c>
      <c r="M721">
        <v>165</v>
      </c>
      <c r="N721" t="s">
        <v>1079</v>
      </c>
      <c r="O721" s="6" t="str">
        <v/>
      </c>
      <c r="P721" s="24" t="str">
        <v/>
      </c>
      <c r="Q721" s="24" t="str">
        <v/>
      </c>
      <c r="R721" t="s">
        <v>629</v>
      </c>
    </row>
    <row r="722" spans="1:18">
      <c r="A722" t="str">
        <v>722行</v>
      </c>
      <c r="B722" t="str">
        <f ca="1"/>
        <v>- O722：工程表Excelファイル_166（現在の内容：""）</v>
      </c>
      <c r="M722">
        <v>166</v>
      </c>
      <c r="N722" t="s">
        <v>1080</v>
      </c>
      <c r="O722" s="6" t="str">
        <v/>
      </c>
      <c r="P722" s="24" t="str">
        <v/>
      </c>
      <c r="Q722" s="24" t="str">
        <v/>
      </c>
      <c r="R722" t="s">
        <v>629</v>
      </c>
    </row>
    <row r="723" spans="1:18">
      <c r="A723" t="str">
        <v>723行</v>
      </c>
      <c r="B723" t="str">
        <f ca="1"/>
        <v>- O723：工程表Excelファイル_167（現在の内容：""）</v>
      </c>
      <c r="M723">
        <v>167</v>
      </c>
      <c r="N723" t="s">
        <v>1081</v>
      </c>
      <c r="O723" s="6" t="str">
        <v/>
      </c>
      <c r="P723" s="24" t="str">
        <v/>
      </c>
      <c r="Q723" s="24" t="str">
        <v/>
      </c>
      <c r="R723" t="s">
        <v>629</v>
      </c>
    </row>
    <row r="724" spans="1:18">
      <c r="A724" t="str">
        <v>724行</v>
      </c>
      <c r="B724" t="str">
        <f ca="1"/>
        <v>- O724：工程表Excelファイル_168（現在の内容：""）</v>
      </c>
      <c r="M724">
        <v>168</v>
      </c>
      <c r="N724" t="s">
        <v>1082</v>
      </c>
      <c r="O724" s="6" t="str">
        <v/>
      </c>
      <c r="P724" s="24" t="str">
        <v/>
      </c>
      <c r="Q724" s="24" t="str">
        <v/>
      </c>
      <c r="R724" t="s">
        <v>629</v>
      </c>
    </row>
    <row r="725" spans="1:18">
      <c r="A725" t="str">
        <v>725行</v>
      </c>
      <c r="B725" t="str">
        <f ca="1"/>
        <v>- O725：工程表Excelファイル_169（現在の内容：""）</v>
      </c>
      <c r="M725">
        <v>169</v>
      </c>
      <c r="N725" t="s">
        <v>1083</v>
      </c>
      <c r="O725" s="6" t="str">
        <v/>
      </c>
      <c r="P725" s="24" t="str">
        <v/>
      </c>
      <c r="Q725" s="24" t="str">
        <v/>
      </c>
      <c r="R725" t="s">
        <v>629</v>
      </c>
    </row>
    <row r="726" spans="1:18">
      <c r="A726" t="str">
        <v>726行</v>
      </c>
      <c r="B726" t="str">
        <f ca="1"/>
        <v>- O726：工程表Excelファイル_170（現在の内容：""）</v>
      </c>
      <c r="M726">
        <v>170</v>
      </c>
      <c r="N726" t="s">
        <v>1084</v>
      </c>
      <c r="O726" s="6" t="str">
        <v/>
      </c>
      <c r="P726" s="24" t="str">
        <v/>
      </c>
      <c r="Q726" s="24" t="str">
        <v/>
      </c>
      <c r="R726" t="s">
        <v>629</v>
      </c>
    </row>
    <row r="727" spans="1:18">
      <c r="A727" t="str">
        <v>727行</v>
      </c>
      <c r="B727" t="str">
        <f ca="1"/>
        <v>- O727：工程表Excelファイル_171（現在の内容：""）</v>
      </c>
      <c r="M727">
        <v>171</v>
      </c>
      <c r="N727" t="s">
        <v>1085</v>
      </c>
      <c r="O727" s="6" t="str">
        <v/>
      </c>
      <c r="P727" s="24" t="str">
        <v/>
      </c>
      <c r="Q727" s="24" t="str">
        <v/>
      </c>
      <c r="R727" t="s">
        <v>629</v>
      </c>
    </row>
    <row r="728" spans="1:18">
      <c r="A728" t="str">
        <v>728行</v>
      </c>
      <c r="B728" t="str">
        <f ca="1"/>
        <v>- O728：工程表Excelファイル_172（現在の内容：""）</v>
      </c>
      <c r="M728">
        <v>172</v>
      </c>
      <c r="N728" t="s">
        <v>1086</v>
      </c>
      <c r="O728" s="6" t="str">
        <v/>
      </c>
      <c r="P728" s="24" t="str">
        <v/>
      </c>
      <c r="Q728" s="24" t="str">
        <v/>
      </c>
      <c r="R728" t="s">
        <v>629</v>
      </c>
    </row>
    <row r="729" spans="1:18">
      <c r="A729" t="str">
        <v>729行</v>
      </c>
      <c r="B729" t="str">
        <f ca="1"/>
        <v>- O729：工程表Excelファイル_173（現在の内容：""）</v>
      </c>
      <c r="M729">
        <v>173</v>
      </c>
      <c r="N729" t="s">
        <v>1087</v>
      </c>
      <c r="O729" s="6" t="str">
        <v/>
      </c>
      <c r="P729" s="24" t="str">
        <v/>
      </c>
      <c r="Q729" s="24" t="str">
        <v/>
      </c>
      <c r="R729" t="s">
        <v>629</v>
      </c>
    </row>
    <row r="730" spans="1:18">
      <c r="A730" t="str">
        <v>730行</v>
      </c>
      <c r="B730" t="str">
        <f ca="1"/>
        <v>- O730：工程表Excelファイル_174（現在の内容：""）</v>
      </c>
      <c r="M730">
        <v>174</v>
      </c>
      <c r="N730" t="s">
        <v>1088</v>
      </c>
      <c r="O730" s="6" t="str">
        <v/>
      </c>
      <c r="P730" s="24" t="str">
        <v/>
      </c>
      <c r="Q730" s="24" t="str">
        <v/>
      </c>
      <c r="R730" t="s">
        <v>629</v>
      </c>
    </row>
    <row r="731" spans="1:18">
      <c r="A731" t="str">
        <v>731行</v>
      </c>
      <c r="B731" t="str">
        <f ca="1"/>
        <v>- O731：工程表Excelファイル_175（現在の内容：""）</v>
      </c>
      <c r="M731">
        <v>175</v>
      </c>
      <c r="N731" t="s">
        <v>1089</v>
      </c>
      <c r="O731" s="6" t="str">
        <v/>
      </c>
      <c r="P731" s="24" t="str">
        <v/>
      </c>
      <c r="Q731" s="24" t="str">
        <v/>
      </c>
      <c r="R731" t="s">
        <v>629</v>
      </c>
    </row>
    <row r="732" spans="1:18">
      <c r="A732" t="str">
        <v>732行</v>
      </c>
      <c r="B732" t="str">
        <f ca="1"/>
        <v>- O732：工程表Excelファイル_176（現在の内容：""）</v>
      </c>
      <c r="M732">
        <v>176</v>
      </c>
      <c r="N732" t="s">
        <v>1090</v>
      </c>
      <c r="O732" s="6" t="str">
        <v/>
      </c>
      <c r="P732" s="24" t="str">
        <v/>
      </c>
      <c r="Q732" s="24" t="str">
        <v/>
      </c>
      <c r="R732" t="s">
        <v>629</v>
      </c>
    </row>
    <row r="733" spans="1:18">
      <c r="A733" t="str">
        <v>733行</v>
      </c>
      <c r="B733" t="str">
        <f ca="1"/>
        <v>- O733：工程表Excelファイル_177（現在の内容：""）</v>
      </c>
      <c r="M733">
        <v>177</v>
      </c>
      <c r="N733" t="s">
        <v>1091</v>
      </c>
      <c r="O733" s="6" t="str">
        <v/>
      </c>
      <c r="P733" s="24" t="str">
        <v/>
      </c>
      <c r="Q733" s="24" t="str">
        <v/>
      </c>
      <c r="R733" t="s">
        <v>629</v>
      </c>
    </row>
    <row r="734" spans="1:18">
      <c r="A734" t="str">
        <v>734行</v>
      </c>
      <c r="B734" t="str">
        <f ca="1"/>
        <v>- O734：工程表Excelファイル_178（現在の内容：""）</v>
      </c>
      <c r="M734">
        <v>178</v>
      </c>
      <c r="N734" t="s">
        <v>1092</v>
      </c>
      <c r="O734" s="6" t="str">
        <v/>
      </c>
      <c r="P734" s="24" t="str">
        <v/>
      </c>
      <c r="Q734" s="24" t="str">
        <v/>
      </c>
      <c r="R734" t="s">
        <v>629</v>
      </c>
    </row>
    <row r="735" spans="1:18">
      <c r="A735" t="str">
        <v>735行</v>
      </c>
      <c r="B735" t="str">
        <f ca="1"/>
        <v>- O735：工程表Excelファイル_179（現在の内容：""）</v>
      </c>
      <c r="M735">
        <v>179</v>
      </c>
      <c r="N735" t="s">
        <v>1093</v>
      </c>
      <c r="O735" s="6" t="str">
        <v/>
      </c>
      <c r="P735" s="24" t="str">
        <v/>
      </c>
      <c r="Q735" s="24" t="str">
        <v/>
      </c>
      <c r="R735" t="s">
        <v>629</v>
      </c>
    </row>
    <row r="736" spans="1:18">
      <c r="A736" t="str">
        <v>736行</v>
      </c>
      <c r="B736" t="str">
        <f ca="1"/>
        <v>- O736：工程表Excelファイル_180（現在の内容：""）</v>
      </c>
      <c r="M736">
        <v>180</v>
      </c>
      <c r="N736" t="s">
        <v>1094</v>
      </c>
      <c r="O736" s="6" t="str">
        <v/>
      </c>
      <c r="P736" s="24" t="str">
        <v/>
      </c>
      <c r="Q736" s="24" t="str">
        <v/>
      </c>
      <c r="R736" t="s">
        <v>629</v>
      </c>
    </row>
    <row r="737" spans="1:18">
      <c r="A737" t="str">
        <v>737行</v>
      </c>
      <c r="B737" t="str">
        <f ca="1"/>
        <v>- O737：工程表Excelファイル_181（現在の内容：""）</v>
      </c>
      <c r="M737">
        <v>181</v>
      </c>
      <c r="N737" t="s">
        <v>1095</v>
      </c>
      <c r="O737" s="6" t="str">
        <v/>
      </c>
      <c r="P737" s="24" t="str">
        <v/>
      </c>
      <c r="Q737" s="24" t="str">
        <v/>
      </c>
      <c r="R737" t="s">
        <v>629</v>
      </c>
    </row>
    <row r="738" spans="1:18">
      <c r="A738" t="str">
        <v>738行</v>
      </c>
      <c r="B738" t="str">
        <f ca="1"/>
        <v>- O738：工程表Excelファイル_182（現在の内容：""）</v>
      </c>
      <c r="M738">
        <v>182</v>
      </c>
      <c r="N738" t="s">
        <v>1096</v>
      </c>
      <c r="O738" s="6" t="str">
        <v/>
      </c>
      <c r="P738" s="24" t="str">
        <v/>
      </c>
      <c r="Q738" s="24" t="str">
        <v/>
      </c>
      <c r="R738" t="s">
        <v>629</v>
      </c>
    </row>
    <row r="739" spans="1:18">
      <c r="A739" t="str">
        <v>739行</v>
      </c>
      <c r="B739" t="str">
        <f ca="1"/>
        <v>- O739：工程表Excelファイル_183（現在の内容：""）</v>
      </c>
      <c r="M739">
        <v>183</v>
      </c>
      <c r="N739" t="s">
        <v>1097</v>
      </c>
      <c r="O739" s="6" t="str">
        <v/>
      </c>
      <c r="P739" s="24" t="str">
        <v/>
      </c>
      <c r="Q739" s="24" t="str">
        <v/>
      </c>
      <c r="R739" t="s">
        <v>629</v>
      </c>
    </row>
    <row r="740" spans="1:18">
      <c r="A740" t="str">
        <v>740行</v>
      </c>
      <c r="B740" t="str">
        <f ca="1"/>
        <v>- O740：工程表Excelファイル_184（現在の内容：""）</v>
      </c>
      <c r="M740">
        <v>184</v>
      </c>
      <c r="N740" t="s">
        <v>1098</v>
      </c>
      <c r="O740" s="6" t="str">
        <v/>
      </c>
      <c r="P740" s="24" t="str">
        <v/>
      </c>
      <c r="Q740" s="24" t="str">
        <v/>
      </c>
      <c r="R740" t="s">
        <v>629</v>
      </c>
    </row>
    <row r="741" spans="1:18">
      <c r="A741" t="str">
        <v>741行</v>
      </c>
      <c r="B741" t="str">
        <f ca="1"/>
        <v>- O741：工程表Excelファイル_185（現在の内容：""）</v>
      </c>
      <c r="M741">
        <v>185</v>
      </c>
      <c r="N741" t="s">
        <v>1099</v>
      </c>
      <c r="O741" s="6" t="str">
        <v/>
      </c>
      <c r="P741" s="24" t="str">
        <v/>
      </c>
      <c r="Q741" s="24" t="str">
        <v/>
      </c>
      <c r="R741" t="s">
        <v>629</v>
      </c>
    </row>
    <row r="742" spans="1:18">
      <c r="A742" t="str">
        <v>742行</v>
      </c>
      <c r="B742" t="str">
        <f ca="1"/>
        <v>- O742：工程表Excelファイル_186（現在の内容：""）</v>
      </c>
      <c r="M742">
        <v>186</v>
      </c>
      <c r="N742" t="s">
        <v>1100</v>
      </c>
      <c r="O742" s="6" t="str">
        <v/>
      </c>
      <c r="P742" s="24" t="str">
        <v/>
      </c>
      <c r="Q742" s="24" t="str">
        <v/>
      </c>
      <c r="R742" t="s">
        <v>629</v>
      </c>
    </row>
    <row r="743" spans="1:18">
      <c r="A743" t="str">
        <v>743行</v>
      </c>
      <c r="B743" t="str">
        <f ca="1"/>
        <v>- O743：工程表Excelファイル_187（現在の内容：""）</v>
      </c>
      <c r="M743">
        <v>187</v>
      </c>
      <c r="N743" t="s">
        <v>1101</v>
      </c>
      <c r="O743" s="6" t="str">
        <v/>
      </c>
      <c r="P743" s="24" t="str">
        <v/>
      </c>
      <c r="Q743" s="24" t="str">
        <v/>
      </c>
      <c r="R743" t="s">
        <v>629</v>
      </c>
    </row>
    <row r="744" spans="1:18">
      <c r="A744" t="str">
        <v>744行</v>
      </c>
      <c r="B744" t="str">
        <f ca="1"/>
        <v>- O744：工程表Excelファイル_188（現在の内容：""）</v>
      </c>
      <c r="M744">
        <v>188</v>
      </c>
      <c r="N744" t="s">
        <v>1102</v>
      </c>
      <c r="O744" s="6" t="str">
        <v/>
      </c>
      <c r="P744" s="24" t="str">
        <v/>
      </c>
      <c r="Q744" s="24" t="str">
        <v/>
      </c>
      <c r="R744" t="s">
        <v>629</v>
      </c>
    </row>
    <row r="745" spans="1:18">
      <c r="A745" t="str">
        <v>745行</v>
      </c>
      <c r="B745" t="str">
        <f ca="1"/>
        <v>- O745：工程表Excelファイル_189（現在の内容：""）</v>
      </c>
      <c r="M745">
        <v>189</v>
      </c>
      <c r="N745" t="s">
        <v>1103</v>
      </c>
      <c r="O745" s="6" t="str">
        <v/>
      </c>
      <c r="P745" s="24" t="str">
        <v/>
      </c>
      <c r="Q745" s="24" t="str">
        <v/>
      </c>
      <c r="R745" t="s">
        <v>629</v>
      </c>
    </row>
    <row r="746" spans="1:18">
      <c r="A746" t="str">
        <v>746行</v>
      </c>
      <c r="B746" t="str">
        <f ca="1"/>
        <v>- O746：工程表Excelファイル_190（現在の内容：""）</v>
      </c>
      <c r="M746">
        <v>190</v>
      </c>
      <c r="N746" t="s">
        <v>1104</v>
      </c>
      <c r="O746" s="6" t="str">
        <v/>
      </c>
      <c r="P746" s="24" t="str">
        <v/>
      </c>
      <c r="Q746" s="24" t="str">
        <v/>
      </c>
      <c r="R746" t="s">
        <v>629</v>
      </c>
    </row>
    <row r="747" spans="1:18">
      <c r="A747" t="str">
        <v>747行</v>
      </c>
      <c r="B747" t="str">
        <f ca="1"/>
        <v>- O747：工程表Excelファイル_191（現在の内容：""）</v>
      </c>
      <c r="M747">
        <v>191</v>
      </c>
      <c r="N747" t="s">
        <v>1105</v>
      </c>
      <c r="O747" s="6" t="str">
        <v/>
      </c>
      <c r="P747" s="24" t="str">
        <v/>
      </c>
      <c r="Q747" s="24" t="str">
        <v/>
      </c>
      <c r="R747" t="s">
        <v>629</v>
      </c>
    </row>
    <row r="748" spans="1:18">
      <c r="A748" t="str">
        <v>748行</v>
      </c>
      <c r="B748" t="str">
        <f ca="1"/>
        <v>- O748：工程表Excelファイル_192（現在の内容：""）</v>
      </c>
      <c r="M748">
        <v>192</v>
      </c>
      <c r="N748" t="s">
        <v>1106</v>
      </c>
      <c r="O748" s="6" t="str">
        <v/>
      </c>
      <c r="P748" s="24" t="str">
        <v/>
      </c>
      <c r="Q748" s="24" t="str">
        <v/>
      </c>
      <c r="R748" t="s">
        <v>629</v>
      </c>
    </row>
    <row r="749" spans="1:18">
      <c r="A749" t="str">
        <v>749行</v>
      </c>
      <c r="B749" t="str">
        <f ca="1"/>
        <v>- O749：工程表Excelファイル_193（現在の内容：""）</v>
      </c>
      <c r="M749">
        <v>193</v>
      </c>
      <c r="N749" t="s">
        <v>1107</v>
      </c>
      <c r="O749" s="6" t="str">
        <v/>
      </c>
      <c r="P749" s="24" t="str">
        <v/>
      </c>
      <c r="Q749" s="24" t="str">
        <v/>
      </c>
      <c r="R749" t="s">
        <v>629</v>
      </c>
    </row>
    <row r="750" spans="1:18">
      <c r="A750" t="str">
        <v>750行</v>
      </c>
      <c r="B750" t="str">
        <f ca="1"/>
        <v>- O750：工程表Excelファイル_194（現在の内容：""）</v>
      </c>
      <c r="M750">
        <v>194</v>
      </c>
      <c r="N750" t="s">
        <v>1108</v>
      </c>
      <c r="O750" s="6" t="str">
        <v/>
      </c>
      <c r="P750" s="24" t="str">
        <v/>
      </c>
      <c r="Q750" s="24" t="str">
        <v/>
      </c>
      <c r="R750" t="s">
        <v>629</v>
      </c>
    </row>
    <row r="751" spans="1:18">
      <c r="A751" t="str">
        <v>751行</v>
      </c>
      <c r="B751" t="str">
        <f ca="1"/>
        <v>- O751：工程表Excelファイル_195（現在の内容：""）</v>
      </c>
      <c r="M751">
        <v>195</v>
      </c>
      <c r="N751" t="s">
        <v>1109</v>
      </c>
      <c r="O751" s="6" t="str">
        <v/>
      </c>
      <c r="P751" s="24" t="str">
        <v/>
      </c>
      <c r="Q751" s="24" t="str">
        <v/>
      </c>
      <c r="R751" t="s">
        <v>629</v>
      </c>
    </row>
    <row r="752" spans="1:18">
      <c r="A752" t="str">
        <v>752行</v>
      </c>
      <c r="B752" t="str">
        <f ca="1"/>
        <v>- O752：工程表Excelファイル_196（現在の内容：""）</v>
      </c>
      <c r="M752">
        <v>196</v>
      </c>
      <c r="N752" t="s">
        <v>1110</v>
      </c>
      <c r="O752" s="6" t="str">
        <v/>
      </c>
      <c r="P752" s="24" t="str">
        <v/>
      </c>
      <c r="Q752" s="24" t="str">
        <v/>
      </c>
      <c r="R752" t="s">
        <v>629</v>
      </c>
    </row>
    <row r="753" spans="1:18">
      <c r="A753" t="str">
        <v>753行</v>
      </c>
      <c r="B753" t="str">
        <f ca="1"/>
        <v>- O753：工程表Excelファイル_197（現在の内容：""）</v>
      </c>
      <c r="M753">
        <v>197</v>
      </c>
      <c r="N753" t="s">
        <v>1111</v>
      </c>
      <c r="O753" s="6" t="str">
        <v/>
      </c>
      <c r="P753" s="24" t="str">
        <v/>
      </c>
      <c r="Q753" s="24" t="str">
        <v/>
      </c>
      <c r="R753" t="s">
        <v>629</v>
      </c>
    </row>
    <row r="754" spans="1:18">
      <c r="A754" t="str">
        <v>754行</v>
      </c>
      <c r="B754" t="str">
        <f ca="1"/>
        <v>- O754：工程表Excelファイル_198（現在の内容：""）</v>
      </c>
      <c r="M754">
        <v>198</v>
      </c>
      <c r="N754" t="s">
        <v>1112</v>
      </c>
      <c r="O754" s="6" t="str">
        <v/>
      </c>
      <c r="P754" s="24" t="str">
        <v/>
      </c>
      <c r="Q754" s="24" t="str">
        <v/>
      </c>
      <c r="R754" t="s">
        <v>629</v>
      </c>
    </row>
    <row r="755" spans="1:18">
      <c r="A755" t="str">
        <v>755行</v>
      </c>
      <c r="B755" t="str">
        <f ca="1"/>
        <v>- O755：工程表Excelファイル_199（現在の内容：""）</v>
      </c>
      <c r="M755">
        <v>199</v>
      </c>
      <c r="N755" t="s">
        <v>1113</v>
      </c>
      <c r="O755" s="6" t="str">
        <v/>
      </c>
      <c r="P755" s="24" t="str">
        <v/>
      </c>
      <c r="Q755" s="24" t="str">
        <v/>
      </c>
      <c r="R755" t="s">
        <v>629</v>
      </c>
    </row>
    <row r="756" spans="1:18">
      <c r="A756" t="str">
        <v>756行</v>
      </c>
      <c r="B756" t="str">
        <f ca="1"/>
        <v>- O756：工程表Excelファイル_200（現在の内容：""）</v>
      </c>
      <c r="M756">
        <v>200</v>
      </c>
      <c r="N756" t="s">
        <v>1114</v>
      </c>
      <c r="O756" s="6" t="str">
        <v/>
      </c>
      <c r="P756" s="24" t="str">
        <v/>
      </c>
      <c r="Q756" s="24" t="str">
        <v/>
      </c>
      <c r="R756" t="s">
        <v>629</v>
      </c>
    </row>
    <row r="757" spans="1:18">
      <c r="A757" t="str">
        <v>757行</v>
      </c>
      <c r="B757" t="str">
        <f ca="1"/>
        <v/>
      </c>
    </row>
    <row r="758" spans="1:18">
      <c r="A758" t="str">
        <v>758行</v>
      </c>
      <c r="B758" t="str">
        <f ca="1"/>
        <v/>
      </c>
    </row>
    <row r="759" spans="1:18">
      <c r="A759" t="str">
        <v>759行</v>
      </c>
      <c r="B759" t="str">
        <f ca="1"/>
        <v/>
      </c>
    </row>
    <row r="760" spans="1:18">
      <c r="A760" t="str">
        <v>760行</v>
      </c>
      <c r="B760" t="str">
        <f ca="1"/>
        <v/>
      </c>
    </row>
    <row r="761" spans="1:18">
      <c r="A761" t="str">
        <v>761行</v>
      </c>
      <c r="B761" t="str">
        <f ca="1"/>
        <v/>
      </c>
    </row>
    <row r="762" spans="1:18">
      <c r="A762" t="str">
        <v>762行</v>
      </c>
      <c r="B762" t="str">
        <f ca="1"/>
        <v/>
      </c>
    </row>
    <row r="763" spans="1:18">
      <c r="A763" t="str">
        <v>763行</v>
      </c>
      <c r="B763" t="str">
        <f ca="1"/>
        <v/>
      </c>
    </row>
    <row r="764" spans="1:18">
      <c r="A764" t="str">
        <v>764行</v>
      </c>
      <c r="B764" t="str">
        <f ca="1"/>
        <v/>
      </c>
    </row>
    <row r="765" spans="1:18">
      <c r="A765" t="str">
        <v>765行</v>
      </c>
      <c r="B765" t="str">
        <f ca="1"/>
        <v/>
      </c>
    </row>
    <row r="766" spans="1:18">
      <c r="A766" t="str">
        <v>766行</v>
      </c>
      <c r="B766" t="str">
        <f ca="1"/>
        <v/>
      </c>
    </row>
    <row r="767" spans="1:18">
      <c r="A767" t="str">
        <v>767行</v>
      </c>
      <c r="B767" t="str">
        <f ca="1"/>
        <v/>
      </c>
    </row>
    <row r="768" spans="1:18">
      <c r="A768" t="str">
        <v>768行</v>
      </c>
      <c r="B768" t="str">
        <f ca="1"/>
        <v/>
      </c>
    </row>
    <row r="769" spans="1:19">
      <c r="A769" t="str">
        <v>769行</v>
      </c>
      <c r="B769" t="str">
        <f ca="1"/>
        <v/>
      </c>
    </row>
    <row r="770" spans="1:19">
      <c r="A770" t="str">
        <v>770行</v>
      </c>
      <c r="B770" t="str">
        <f ca="1"/>
        <v/>
      </c>
    </row>
    <row r="771" spans="1:19">
      <c r="A771" t="str">
        <v>771行</v>
      </c>
      <c r="B771" t="str">
        <f ca="1"/>
        <v/>
      </c>
    </row>
    <row r="772" spans="1:19">
      <c r="A772" t="str">
        <v>772行</v>
      </c>
      <c r="B772" t="str">
        <f ca="1"/>
        <v/>
      </c>
    </row>
    <row r="773" spans="1:19">
      <c r="A773" t="str">
        <v>773行</v>
      </c>
      <c r="B773" t="str">
        <f ca="1"/>
        <v/>
      </c>
    </row>
    <row r="774" spans="1:19">
      <c r="A774" t="str">
        <v>774行</v>
      </c>
      <c r="B774" t="str">
        <f ca="1"/>
        <v/>
      </c>
    </row>
    <row r="775" spans="1:19" s="9" customFormat="1" ht="19.5" thickBot="1">
      <c r="A775" s="9" t="str">
        <v>775行</v>
      </c>
      <c r="B775" t="str">
        <f ca="1"/>
        <v/>
      </c>
    </row>
    <row r="776" spans="1:19" ht="19.5" thickTop="1">
      <c r="A776" t="str">
        <v>776行</v>
      </c>
      <c r="B776" t="str">
        <f ca="1"/>
        <v/>
      </c>
    </row>
    <row r="777" spans="1:19">
      <c r="A777" t="str">
        <v>777行</v>
      </c>
      <c r="B777" t="str">
        <f ca="1"/>
        <v>- O777：抽出内容（ヘッダー最終行）（現在の内容：現工程表）</v>
      </c>
      <c r="N777" t="s">
        <v>1014</v>
      </c>
      <c r="O777" t="s">
        <v>891</v>
      </c>
      <c r="P777" t="s">
        <v>892</v>
      </c>
    </row>
    <row r="778" spans="1:19">
      <c r="A778" t="str">
        <v>778行</v>
      </c>
      <c r="B778" t="str">
        <f ca="1"/>
        <v>- O778：工番（現在の内容：0,0）</v>
      </c>
      <c r="L778" t="s">
        <v>893</v>
      </c>
      <c r="M778" t="s">
        <v>1132</v>
      </c>
      <c r="N778" s="24" t="str" cm="1">
        <f t="array" ref="N778:O792">IFERROR(IF(ISBLANK(_xlfn._xlws.FILTER(Work!$Q:$R, (Work!$G:$G=$O$126)*(ISNUMBER(MATCH(Work!$P:$P, $M778:$M792, 0))), "")), "", _xlfn._xlws.FILTER(Work!$Q:$R, (Work!$G:$G=$O$126)*(ISNUMBER(MATCH(Work!$P:$P, $M778:$M792, 0))), "")),"")</f>
        <v>工番</v>
      </c>
      <c r="O778" s="6" t="str">
        <v>0,0</v>
      </c>
      <c r="P778" s="11" t="s">
        <v>895</v>
      </c>
      <c r="Q778" t="s">
        <v>896</v>
      </c>
      <c r="R778" t="s">
        <v>897</v>
      </c>
    </row>
    <row r="779" spans="1:19">
      <c r="A779" t="str">
        <v>779行</v>
      </c>
      <c r="B779" t="str">
        <f ca="1"/>
        <v>- O779：変電所（現在の内容：1,0）</v>
      </c>
      <c r="M779" t="s">
        <v>1133</v>
      </c>
      <c r="N779" s="24" t="str">
        <v>変電所</v>
      </c>
      <c r="O779" s="6" t="str">
        <v>1,0</v>
      </c>
      <c r="P779" s="11" t="s">
        <v>894</v>
      </c>
      <c r="R779" t="s">
        <v>897</v>
      </c>
    </row>
    <row r="780" spans="1:19">
      <c r="A780" t="str">
        <v>780行</v>
      </c>
      <c r="B780" t="str">
        <f ca="1"/>
        <v>- O780：作業名1（現在の内容：2,0）</v>
      </c>
      <c r="M780" t="s">
        <v>1134</v>
      </c>
      <c r="N780" s="24" t="str">
        <v>作業名1</v>
      </c>
      <c r="O780" s="6" t="str">
        <v>2,0</v>
      </c>
      <c r="P780" s="17" t="s">
        <v>899</v>
      </c>
      <c r="R780" t="s">
        <v>897</v>
      </c>
    </row>
    <row r="781" spans="1:19">
      <c r="A781" t="str">
        <v>781行</v>
      </c>
      <c r="B781" t="str">
        <f ca="1"/>
        <v>- O781：作業名2(旧：制通部門)（現在の内容：3,0）</v>
      </c>
      <c r="M781" t="s">
        <v>1135</v>
      </c>
      <c r="N781" s="24" t="str">
        <v>作業名2(旧：制通部門)</v>
      </c>
      <c r="O781" s="6" t="str">
        <v>3,0</v>
      </c>
      <c r="P781" s="16" t="s">
        <v>901</v>
      </c>
      <c r="R781" t="s">
        <v>897</v>
      </c>
    </row>
    <row r="782" spans="1:19">
      <c r="A782" t="str">
        <v>782行</v>
      </c>
      <c r="B782" t="str">
        <f ca="1"/>
        <v/>
      </c>
      <c r="M782" t="s">
        <v>1136</v>
      </c>
      <c r="N782" s="24" t="str">
        <v/>
      </c>
      <c r="O782" s="6" t="str">
        <v/>
      </c>
      <c r="S782" t="s">
        <v>904</v>
      </c>
    </row>
    <row r="783" spans="1:19">
      <c r="A783" t="str">
        <v>783行</v>
      </c>
      <c r="B783" t="str">
        <f ca="1"/>
        <v>- O783：担当の名前（現在の内容：4,2）</v>
      </c>
      <c r="M783" t="s">
        <v>1137</v>
      </c>
      <c r="N783" s="24" t="str">
        <v>担当の名前</v>
      </c>
      <c r="O783" s="6" t="str">
        <v>4,2</v>
      </c>
      <c r="P783" s="19" t="s">
        <v>906</v>
      </c>
      <c r="R783" t="s">
        <v>897</v>
      </c>
    </row>
    <row r="784" spans="1:19">
      <c r="A784" t="str">
        <v>784行</v>
      </c>
      <c r="B784" t="str">
        <f ca="1"/>
        <v>- O784：工事種類（旧：点検種類）（現在の内容：5,0）</v>
      </c>
      <c r="M784" t="s">
        <v>1138</v>
      </c>
      <c r="N784" s="24" t="str">
        <v>工事種類（旧：点検種類）</v>
      </c>
      <c r="O784" s="6" t="str">
        <v>5,0</v>
      </c>
      <c r="P784" s="15" t="s">
        <v>907</v>
      </c>
      <c r="R784" t="s">
        <v>897</v>
      </c>
      <c r="S784" t="s">
        <v>908</v>
      </c>
    </row>
    <row r="785" spans="1:18">
      <c r="A785" t="str">
        <v>785行</v>
      </c>
      <c r="B785" t="str">
        <f ca="1"/>
        <v>- O785：人数（現在の内容：5,2）</v>
      </c>
      <c r="M785" t="s">
        <v>1139</v>
      </c>
      <c r="N785" s="24" t="str">
        <v>人数</v>
      </c>
      <c r="O785" s="6" t="str">
        <v>5,2</v>
      </c>
      <c r="P785" s="20" t="s">
        <v>909</v>
      </c>
      <c r="R785" t="s">
        <v>897</v>
      </c>
    </row>
    <row r="786" spans="1:18">
      <c r="A786" t="str">
        <v>786行</v>
      </c>
      <c r="B786" t="str">
        <f ca="1"/>
        <v>- O786：作業員（現在の内容：6,0）</v>
      </c>
      <c r="M786" t="s">
        <v>1140</v>
      </c>
      <c r="N786" s="24" t="str">
        <v>作業員</v>
      </c>
      <c r="O786" s="6" t="str">
        <v>6,0</v>
      </c>
      <c r="P786" t="s">
        <v>910</v>
      </c>
      <c r="R786" t="s">
        <v>897</v>
      </c>
    </row>
    <row r="787" spans="1:18">
      <c r="A787" t="str">
        <v>787行</v>
      </c>
      <c r="B787" t="str">
        <f ca="1"/>
        <v/>
      </c>
      <c r="M787" t="s">
        <v>1141</v>
      </c>
      <c r="N787" s="24" t="str">
        <v/>
      </c>
      <c r="O787" s="6" t="str">
        <v/>
      </c>
    </row>
    <row r="788" spans="1:18">
      <c r="A788" t="str">
        <v>788行</v>
      </c>
      <c r="B788" t="str">
        <f ca="1"/>
        <v/>
      </c>
      <c r="L788" t="s">
        <v>911</v>
      </c>
      <c r="M788" t="s">
        <v>1142</v>
      </c>
      <c r="N788" s="24" t="str">
        <v/>
      </c>
      <c r="O788" s="6" t="str">
        <v/>
      </c>
      <c r="P788" s="16" t="s">
        <v>903</v>
      </c>
    </row>
    <row r="789" spans="1:18">
      <c r="A789" t="str">
        <v>789行</v>
      </c>
      <c r="B789" t="str">
        <f ca="1"/>
        <v/>
      </c>
      <c r="M789" t="s">
        <v>1143</v>
      </c>
      <c r="N789" s="24" t="str">
        <v/>
      </c>
      <c r="O789" s="6" t="str">
        <v/>
      </c>
      <c r="P789" s="19" t="s">
        <v>905</v>
      </c>
    </row>
    <row r="790" spans="1:18">
      <c r="A790" t="str">
        <v>790行</v>
      </c>
      <c r="B790" t="str">
        <f ca="1"/>
        <v/>
      </c>
      <c r="M790" t="s">
        <v>1144</v>
      </c>
      <c r="N790" s="24" t="str">
        <v/>
      </c>
      <c r="O790" s="6" t="str">
        <v/>
      </c>
      <c r="P790" t="s">
        <v>914</v>
      </c>
      <c r="R790" t="s">
        <v>710</v>
      </c>
    </row>
    <row r="791" spans="1:18">
      <c r="A791" t="str">
        <v>791行</v>
      </c>
      <c r="B791" t="str">
        <f ca="1"/>
        <v/>
      </c>
      <c r="M791" t="s">
        <v>1145</v>
      </c>
      <c r="N791" s="24" t="str">
        <v/>
      </c>
      <c r="O791" s="6" t="str">
        <v/>
      </c>
    </row>
    <row r="792" spans="1:18">
      <c r="A792" t="str">
        <v>792行</v>
      </c>
      <c r="B792" t="str">
        <f ca="1"/>
        <v/>
      </c>
      <c r="M792" t="s">
        <v>1146</v>
      </c>
      <c r="N792" s="24" t="str">
        <v/>
      </c>
      <c r="O792" s="6" t="str">
        <v/>
      </c>
    </row>
    <row r="793" spans="1:18">
      <c r="A793" t="str">
        <v>793行</v>
      </c>
      <c r="B793" t="str">
        <f ca="1"/>
        <v/>
      </c>
    </row>
    <row r="794" spans="1:18">
      <c r="A794" t="str">
        <v>794行</v>
      </c>
      <c r="B794" t="str">
        <f ca="1"/>
        <v/>
      </c>
    </row>
    <row r="795" spans="1:18">
      <c r="A795" t="str">
        <v>795行</v>
      </c>
      <c r="B795" t="str">
        <f ca="1"/>
        <v/>
      </c>
    </row>
    <row r="796" spans="1:18">
      <c r="A796" t="str">
        <v>796行</v>
      </c>
      <c r="B796" t="str">
        <f ca="1"/>
        <v/>
      </c>
    </row>
    <row r="797" spans="1:18">
      <c r="A797" t="str">
        <v>797行</v>
      </c>
      <c r="B797" t="str">
        <f ca="1"/>
        <v/>
      </c>
    </row>
    <row r="798" spans="1:18">
      <c r="A798" t="str">
        <v>798行</v>
      </c>
      <c r="B798" t="str">
        <f ca="1"/>
        <v/>
      </c>
    </row>
    <row r="799" spans="1:18">
      <c r="A799" t="str">
        <v>799行</v>
      </c>
      <c r="B799" t="str">
        <f ca="1"/>
        <v/>
      </c>
    </row>
    <row r="800" spans="1:18">
      <c r="A800" t="str">
        <v>800行</v>
      </c>
      <c r="B800" t="str">
        <f ca="1"/>
        <v/>
      </c>
    </row>
    <row r="801" spans="1:16">
      <c r="A801" t="str">
        <v>801行</v>
      </c>
      <c r="B801" t="str">
        <f ca="1"/>
        <v/>
      </c>
      <c r="P801" s="18"/>
    </row>
    <row r="802" spans="1:16">
      <c r="A802" t="str">
        <v>802行</v>
      </c>
      <c r="B802" t="str">
        <f ca="1"/>
        <v/>
      </c>
      <c r="P802" s="18"/>
    </row>
    <row r="803" spans="1:16">
      <c r="A803" t="str">
        <v>803行</v>
      </c>
      <c r="B803" t="str">
        <f ca="1"/>
        <v/>
      </c>
      <c r="P803" s="18"/>
    </row>
    <row r="804" spans="1:16">
      <c r="A804" t="str">
        <v>804行</v>
      </c>
      <c r="B804" t="str">
        <f ca="1"/>
        <v/>
      </c>
      <c r="P804" s="18"/>
    </row>
    <row r="805" spans="1:16">
      <c r="A805" t="str">
        <v>805行</v>
      </c>
      <c r="B805" t="str">
        <f ca="1"/>
        <v/>
      </c>
      <c r="P805" s="18"/>
    </row>
    <row r="806" spans="1:16">
      <c r="A806" t="str">
        <v>806行</v>
      </c>
      <c r="B806" t="str">
        <f ca="1"/>
        <v/>
      </c>
      <c r="P806" s="18"/>
    </row>
    <row r="807" spans="1:16">
      <c r="A807" t="str">
        <v>807行</v>
      </c>
      <c r="B807" t="str">
        <f ca="1"/>
        <v/>
      </c>
      <c r="P807" s="18"/>
    </row>
    <row r="808" spans="1:16">
      <c r="A808" t="str">
        <v>808行</v>
      </c>
      <c r="B808" t="str">
        <f ca="1"/>
        <v/>
      </c>
      <c r="P808" s="18"/>
    </row>
    <row r="809" spans="1:16">
      <c r="A809" t="str">
        <v>809行</v>
      </c>
      <c r="B809" t="str">
        <f ca="1"/>
        <v/>
      </c>
      <c r="P809" s="18"/>
    </row>
    <row r="810" spans="1:16">
      <c r="A810" t="str">
        <v>810行</v>
      </c>
      <c r="B810" t="str">
        <f ca="1"/>
        <v/>
      </c>
    </row>
    <row r="811" spans="1:16">
      <c r="A811" t="str">
        <v>811行</v>
      </c>
      <c r="B811" t="str">
        <f ca="1"/>
        <v>- O811：ヘッダー行数（現在の内容：2）</v>
      </c>
      <c r="L811" t="s">
        <v>915</v>
      </c>
      <c r="N811" t="s">
        <v>916</v>
      </c>
      <c r="O811" s="6">
        <f ca="1">COUNTA(O812:O821)</f>
        <v>2</v>
      </c>
    </row>
    <row r="812" spans="1:16">
      <c r="A812" t="str">
        <v>812行</v>
      </c>
      <c r="B812" t="str">
        <f ca="1"/>
        <v>- O812：ヘッダー行_1（現在の内容：工程表から抽出　2025/05/29 (木) 15:24:33）</v>
      </c>
      <c r="N812" t="s">
        <v>917</v>
      </c>
      <c r="O812" s="6" t="str">
        <f ca="1">"工程表から抽出　"&amp;TEXT(NOW(),"yyyy/mm/dd (aaa) hh:mm:ss")</f>
        <v>工程表から抽出　2025/05/29 (木) 15:24:33</v>
      </c>
    </row>
    <row r="813" spans="1:16">
      <c r="A813" t="str">
        <v>813行</v>
      </c>
      <c r="B813" t="str">
        <f ca="1"/>
        <v>- O813：ヘッダー行_2（現在の内容：工番	変電所	作業名1	作業名2(旧：制通部門)	担当の名前	工事種類（旧：点検種類）	人数	作業員）</v>
      </c>
      <c r="N813" t="s">
        <v>918</v>
      </c>
      <c r="O813" s="6" t="str">
        <f>_xlfn.TEXTJOIN(CHAR(9),TRUE,N778:N792)</f>
        <v>工番	変電所	作業名1	作業名2(旧：制通部門)	担当の名前	工事種類（旧：点検種類）	人数	作業員</v>
      </c>
    </row>
    <row r="814" spans="1:16">
      <c r="A814" t="str">
        <v>814行</v>
      </c>
      <c r="B814" t="str">
        <f ca="1"/>
        <v>- O814：ヘッダー行_3（現在の内容：""）</v>
      </c>
      <c r="N814" t="s">
        <v>919</v>
      </c>
      <c r="O814" s="6"/>
    </row>
    <row r="815" spans="1:16">
      <c r="A815" t="str">
        <v>815行</v>
      </c>
      <c r="B815" t="str">
        <f ca="1"/>
        <v>- O815：ヘッダー行_4（現在の内容：""）</v>
      </c>
      <c r="N815" t="s">
        <v>920</v>
      </c>
      <c r="O815" s="6"/>
    </row>
    <row r="816" spans="1:16">
      <c r="A816" t="str">
        <v>816行</v>
      </c>
      <c r="B816" t="str">
        <f ca="1"/>
        <v>- O816：ヘッダー行_5（現在の内容：""）</v>
      </c>
      <c r="N816" t="s">
        <v>921</v>
      </c>
      <c r="O816" s="6"/>
    </row>
    <row r="817" spans="1:23">
      <c r="A817" t="str">
        <v>817行</v>
      </c>
      <c r="B817" t="str">
        <f ca="1"/>
        <v>- O817：ヘッダー行_6（現在の内容：""）</v>
      </c>
      <c r="N817" t="s">
        <v>922</v>
      </c>
      <c r="O817" s="6"/>
    </row>
    <row r="818" spans="1:23">
      <c r="A818" t="str">
        <v>818行</v>
      </c>
      <c r="B818" t="str">
        <f ca="1"/>
        <v>- O818：ヘッダー行_7（現在の内容：""）</v>
      </c>
      <c r="N818" t="s">
        <v>923</v>
      </c>
      <c r="O818" s="6"/>
    </row>
    <row r="819" spans="1:23">
      <c r="A819" t="str">
        <v>819行</v>
      </c>
      <c r="B819" t="str">
        <f ca="1"/>
        <v>- O819：ヘッダー行_8（現在の内容：""）</v>
      </c>
      <c r="N819" t="s">
        <v>924</v>
      </c>
      <c r="O819" s="6"/>
    </row>
    <row r="820" spans="1:23">
      <c r="A820" t="str">
        <v>820行</v>
      </c>
      <c r="B820" t="str">
        <f ca="1"/>
        <v>- O820：ヘッダー行_9（現在の内容：""）</v>
      </c>
      <c r="N820" t="s">
        <v>925</v>
      </c>
      <c r="O820" s="6"/>
    </row>
    <row r="821" spans="1:23">
      <c r="A821" t="str">
        <v>821行</v>
      </c>
      <c r="B821" t="str">
        <f ca="1"/>
        <v>- O821：ヘッダー行_10（現在の内容：""）</v>
      </c>
      <c r="N821" t="s">
        <v>926</v>
      </c>
      <c r="O821" s="6"/>
    </row>
    <row r="822" spans="1:23">
      <c r="A822" t="str">
        <v>822行</v>
      </c>
      <c r="B822" t="str">
        <f ca="1"/>
        <v/>
      </c>
    </row>
    <row r="823" spans="1:23">
      <c r="A823" t="str">
        <v>823行</v>
      </c>
      <c r="B823" t="str">
        <f ca="1"/>
        <v/>
      </c>
    </row>
    <row r="824" spans="1:23">
      <c r="A824" t="str">
        <v>824行</v>
      </c>
      <c r="B824" t="str">
        <f ca="1"/>
        <v/>
      </c>
    </row>
    <row r="825" spans="1:23">
      <c r="A825" t="str">
        <v>825行</v>
      </c>
      <c r="B825" t="str">
        <f ca="1"/>
        <v/>
      </c>
      <c r="Q825" s="16" t="s">
        <v>927</v>
      </c>
      <c r="R825" s="17" t="s">
        <v>928</v>
      </c>
      <c r="S825" s="15" t="s">
        <v>929</v>
      </c>
      <c r="T825" s="15"/>
      <c r="U825" s="15"/>
      <c r="V825" s="15"/>
      <c r="W825" s="15"/>
    </row>
    <row r="826" spans="1:23">
      <c r="A826" t="str">
        <v>826行</v>
      </c>
      <c r="B826" t="str">
        <f ca="1"/>
        <v/>
      </c>
      <c r="Q826" t="s">
        <v>930</v>
      </c>
      <c r="R826" t="s">
        <v>931</v>
      </c>
      <c r="S826" t="s">
        <v>932</v>
      </c>
    </row>
    <row r="827" spans="1:23">
      <c r="A827" t="str">
        <v>827行</v>
      </c>
      <c r="B827" t="str">
        <f ca="1"/>
        <v/>
      </c>
      <c r="Q827" t="s">
        <v>933</v>
      </c>
      <c r="R827" t="s">
        <v>934</v>
      </c>
      <c r="S827" t="s">
        <v>935</v>
      </c>
    </row>
    <row r="828" spans="1:23">
      <c r="A828" t="str">
        <v>828行</v>
      </c>
      <c r="B828" t="str">
        <f ca="1"/>
        <v/>
      </c>
      <c r="Q828" t="s">
        <v>936</v>
      </c>
      <c r="R828" t="s">
        <v>937</v>
      </c>
      <c r="S828" t="s">
        <v>938</v>
      </c>
    </row>
    <row r="829" spans="1:23">
      <c r="A829" t="str">
        <v>829行</v>
      </c>
      <c r="B829" t="str">
        <f ca="1"/>
        <v/>
      </c>
      <c r="Q829" t="s">
        <v>939</v>
      </c>
      <c r="R829" t="s">
        <v>940</v>
      </c>
      <c r="S829" t="s">
        <v>941</v>
      </c>
    </row>
    <row r="830" spans="1:23">
      <c r="A830" t="str">
        <v>830行</v>
      </c>
      <c r="B830" t="str">
        <f ca="1"/>
        <v/>
      </c>
      <c r="Q830" t="s">
        <v>942</v>
      </c>
      <c r="R830" t="s">
        <v>943</v>
      </c>
      <c r="S830" t="s">
        <v>944</v>
      </c>
    </row>
    <row r="831" spans="1:23">
      <c r="A831" t="str">
        <v>831行</v>
      </c>
      <c r="B831" t="str">
        <f ca="1"/>
        <v/>
      </c>
      <c r="Q831" t="s">
        <v>945</v>
      </c>
      <c r="R831" t="s">
        <v>946</v>
      </c>
      <c r="S831" t="s">
        <v>947</v>
      </c>
    </row>
    <row r="832" spans="1:23">
      <c r="A832" t="str">
        <v>832行</v>
      </c>
      <c r="B832" t="str">
        <f ca="1"/>
        <v/>
      </c>
      <c r="Q832" t="s">
        <v>948</v>
      </c>
      <c r="R832" t="s">
        <v>949</v>
      </c>
      <c r="S832" t="s">
        <v>950</v>
      </c>
    </row>
    <row r="833" spans="1:19">
      <c r="A833" t="str">
        <v>833行</v>
      </c>
      <c r="B833" t="str">
        <f ca="1"/>
        <v/>
      </c>
      <c r="Q833" t="s">
        <v>951</v>
      </c>
      <c r="R833" t="s">
        <v>952</v>
      </c>
      <c r="S833" t="s">
        <v>953</v>
      </c>
    </row>
    <row r="834" spans="1:19">
      <c r="A834" t="str">
        <v>834行</v>
      </c>
      <c r="B834" t="str">
        <f ca="1"/>
        <v/>
      </c>
      <c r="Q834" t="s">
        <v>954</v>
      </c>
      <c r="R834" t="s">
        <v>955</v>
      </c>
      <c r="S834" t="s">
        <v>956</v>
      </c>
    </row>
    <row r="835" spans="1:19">
      <c r="A835" t="str">
        <v>835行</v>
      </c>
      <c r="B835" t="str">
        <f ca="1"/>
        <v/>
      </c>
      <c r="Q835" t="s">
        <v>957</v>
      </c>
      <c r="R835" t="s">
        <v>958</v>
      </c>
      <c r="S835" t="s">
        <v>959</v>
      </c>
    </row>
    <row r="836" spans="1:19">
      <c r="A836" t="str">
        <v>836行</v>
      </c>
      <c r="B836" t="str">
        <f ca="1"/>
        <v/>
      </c>
      <c r="Q836" t="s">
        <v>960</v>
      </c>
      <c r="R836" t="s">
        <v>961</v>
      </c>
      <c r="S836" t="s">
        <v>962</v>
      </c>
    </row>
    <row r="837" spans="1:19">
      <c r="A837" t="str">
        <v>837行</v>
      </c>
      <c r="B837" t="str">
        <f ca="1"/>
        <v/>
      </c>
      <c r="Q837" t="s">
        <v>963</v>
      </c>
      <c r="R837" t="s">
        <v>964</v>
      </c>
      <c r="S837" t="s">
        <v>965</v>
      </c>
    </row>
    <row r="838" spans="1:19">
      <c r="A838" t="str">
        <v>838行</v>
      </c>
      <c r="B838" t="str">
        <f ca="1"/>
        <v/>
      </c>
      <c r="Q838" t="s">
        <v>966</v>
      </c>
      <c r="R838" t="s">
        <v>967</v>
      </c>
      <c r="S838" t="s">
        <v>968</v>
      </c>
    </row>
    <row r="839" spans="1:19">
      <c r="A839" t="str">
        <v>839行</v>
      </c>
      <c r="B839" t="str">
        <f ca="1"/>
        <v/>
      </c>
      <c r="Q839" t="s">
        <v>969</v>
      </c>
      <c r="R839" t="s">
        <v>970</v>
      </c>
      <c r="S839" t="s">
        <v>971</v>
      </c>
    </row>
    <row r="840" spans="1:19">
      <c r="A840" t="str">
        <v>840行</v>
      </c>
      <c r="B840" t="str">
        <f ca="1"/>
        <v/>
      </c>
      <c r="Q840" t="s">
        <v>972</v>
      </c>
      <c r="R840" t="s">
        <v>970</v>
      </c>
      <c r="S840" t="s">
        <v>973</v>
      </c>
    </row>
    <row r="841" spans="1:19">
      <c r="A841" t="str">
        <v>841行</v>
      </c>
      <c r="B841" t="str">
        <f ca="1"/>
        <v/>
      </c>
      <c r="Q841" t="s">
        <v>974</v>
      </c>
      <c r="R841" t="s">
        <v>970</v>
      </c>
      <c r="S841" t="s">
        <v>970</v>
      </c>
    </row>
    <row r="842" spans="1:19">
      <c r="A842" t="str">
        <v>842行</v>
      </c>
      <c r="B842" t="str">
        <f ca="1"/>
        <v/>
      </c>
      <c r="Q842" t="s">
        <v>975</v>
      </c>
      <c r="R842" t="s">
        <v>976</v>
      </c>
      <c r="S842" t="s">
        <v>970</v>
      </c>
    </row>
    <row r="843" spans="1:19">
      <c r="A843" t="str">
        <v>843行</v>
      </c>
      <c r="B843" t="str">
        <f ca="1"/>
        <v/>
      </c>
      <c r="Q843" t="s">
        <v>977</v>
      </c>
      <c r="R843" t="s">
        <v>978</v>
      </c>
      <c r="S843" t="s">
        <v>970</v>
      </c>
    </row>
    <row r="844" spans="1:19">
      <c r="A844" t="str">
        <v>844行</v>
      </c>
      <c r="B844" t="str">
        <f ca="1"/>
        <v/>
      </c>
      <c r="Q844" t="s">
        <v>979</v>
      </c>
      <c r="R844" t="s">
        <v>980</v>
      </c>
      <c r="S844" t="s">
        <v>970</v>
      </c>
    </row>
    <row r="845" spans="1:19">
      <c r="A845" t="str">
        <v>845行</v>
      </c>
      <c r="B845" t="str">
        <f ca="1"/>
        <v/>
      </c>
      <c r="Q845" t="s">
        <v>981</v>
      </c>
      <c r="R845" t="s">
        <v>982</v>
      </c>
      <c r="S845" t="s">
        <v>970</v>
      </c>
    </row>
    <row r="846" spans="1:19">
      <c r="A846" t="str">
        <v>846行</v>
      </c>
      <c r="B846" t="str">
        <f ca="1"/>
        <v/>
      </c>
      <c r="Q846" t="s">
        <v>983</v>
      </c>
      <c r="R846" t="s">
        <v>984</v>
      </c>
      <c r="S846" t="s">
        <v>970</v>
      </c>
    </row>
    <row r="847" spans="1:19">
      <c r="A847" t="str">
        <v>847行</v>
      </c>
      <c r="B847" t="str">
        <f ca="1"/>
        <v/>
      </c>
      <c r="Q847" t="s">
        <v>985</v>
      </c>
      <c r="R847" t="s">
        <v>970</v>
      </c>
      <c r="S847" t="s">
        <v>970</v>
      </c>
    </row>
    <row r="848" spans="1:19">
      <c r="A848" t="str">
        <v>848行</v>
      </c>
      <c r="B848" t="str">
        <f ca="1"/>
        <v/>
      </c>
      <c r="Q848" t="s">
        <v>986</v>
      </c>
      <c r="R848" t="s">
        <v>970</v>
      </c>
      <c r="S848" t="s">
        <v>970</v>
      </c>
    </row>
    <row r="849" spans="1:19">
      <c r="A849" t="str">
        <v>849行</v>
      </c>
      <c r="B849" t="str">
        <f ca="1"/>
        <v/>
      </c>
      <c r="Q849" t="s">
        <v>987</v>
      </c>
      <c r="R849" t="s">
        <v>988</v>
      </c>
      <c r="S849" t="s">
        <v>970</v>
      </c>
    </row>
    <row r="850" spans="1:19">
      <c r="A850" t="str">
        <v>850行</v>
      </c>
      <c r="B850" t="str">
        <f ca="1"/>
        <v/>
      </c>
      <c r="Q850" t="s">
        <v>989</v>
      </c>
      <c r="R850" t="s">
        <v>990</v>
      </c>
    </row>
    <row r="851" spans="1:19">
      <c r="A851" t="str">
        <v>851行</v>
      </c>
      <c r="B851" t="str">
        <f ca="1"/>
        <v/>
      </c>
      <c r="Q851" t="s">
        <v>991</v>
      </c>
      <c r="R851" t="s">
        <v>992</v>
      </c>
    </row>
    <row r="852" spans="1:19">
      <c r="A852" t="str">
        <v>852行</v>
      </c>
      <c r="B852" t="str">
        <f ca="1"/>
        <v/>
      </c>
      <c r="Q852" t="s">
        <v>993</v>
      </c>
      <c r="R852" t="s">
        <v>970</v>
      </c>
    </row>
    <row r="853" spans="1:19">
      <c r="A853" t="str">
        <v>853行</v>
      </c>
      <c r="B853" t="str">
        <f ca="1"/>
        <v/>
      </c>
      <c r="Q853" t="s">
        <v>994</v>
      </c>
      <c r="R853" t="s">
        <v>970</v>
      </c>
    </row>
    <row r="854" spans="1:19">
      <c r="A854" t="str">
        <v>854行</v>
      </c>
      <c r="B854" t="str">
        <f ca="1"/>
        <v/>
      </c>
      <c r="Q854" t="s">
        <v>970</v>
      </c>
      <c r="R854" t="s">
        <v>970</v>
      </c>
    </row>
    <row r="855" spans="1:19">
      <c r="A855" t="str">
        <v>855行</v>
      </c>
      <c r="B855" t="str">
        <f ca="1"/>
        <v/>
      </c>
      <c r="Q855" t="s">
        <v>995</v>
      </c>
      <c r="R855" t="s">
        <v>970</v>
      </c>
    </row>
    <row r="856" spans="1:19">
      <c r="A856" t="str">
        <v>856行</v>
      </c>
      <c r="B856" t="str">
        <f ca="1"/>
        <v/>
      </c>
      <c r="Q856" t="s">
        <v>996</v>
      </c>
    </row>
    <row r="857" spans="1:19">
      <c r="A857" t="str">
        <v>857行</v>
      </c>
      <c r="B857" t="str">
        <f ca="1"/>
        <v/>
      </c>
      <c r="Q857" t="s">
        <v>997</v>
      </c>
    </row>
    <row r="858" spans="1:19">
      <c r="A858" t="str">
        <v>858行</v>
      </c>
      <c r="B858" t="str">
        <f ca="1"/>
        <v/>
      </c>
      <c r="Q858" t="s">
        <v>998</v>
      </c>
    </row>
    <row r="859" spans="1:19">
      <c r="A859" t="str">
        <v>859行</v>
      </c>
      <c r="B859" t="str">
        <f ca="1"/>
        <v/>
      </c>
      <c r="Q859" t="s">
        <v>999</v>
      </c>
    </row>
    <row r="860" spans="1:19">
      <c r="A860" t="str">
        <v>860行</v>
      </c>
      <c r="B860" t="str">
        <f ca="1"/>
        <v/>
      </c>
      <c r="Q860" t="s">
        <v>1000</v>
      </c>
    </row>
    <row r="861" spans="1:19">
      <c r="A861" t="str">
        <v>861行</v>
      </c>
      <c r="B861" t="str">
        <f ca="1"/>
        <v/>
      </c>
      <c r="Q861" t="s">
        <v>1001</v>
      </c>
    </row>
    <row r="862" spans="1:19">
      <c r="A862" t="str">
        <v>862行</v>
      </c>
      <c r="B862" t="str">
        <f ca="1"/>
        <v/>
      </c>
      <c r="Q862" t="s">
        <v>970</v>
      </c>
    </row>
    <row r="863" spans="1:19">
      <c r="A863" t="str">
        <v>863行</v>
      </c>
      <c r="B863" t="str">
        <f ca="1"/>
        <v/>
      </c>
      <c r="Q863" t="s">
        <v>1002</v>
      </c>
    </row>
    <row r="864" spans="1:19">
      <c r="A864" t="str">
        <v>864行</v>
      </c>
      <c r="B864" t="str">
        <f ca="1"/>
        <v/>
      </c>
      <c r="Q864" t="s">
        <v>970</v>
      </c>
    </row>
    <row r="865" spans="1:17">
      <c r="A865" t="str">
        <v>865行</v>
      </c>
      <c r="B865" t="str">
        <f ca="1"/>
        <v/>
      </c>
      <c r="Q865" t="s">
        <v>990</v>
      </c>
    </row>
    <row r="866" spans="1:17">
      <c r="A866" t="str">
        <v>866行</v>
      </c>
      <c r="B866" t="str">
        <f ca="1"/>
        <v/>
      </c>
      <c r="Q866" t="s">
        <v>992</v>
      </c>
    </row>
    <row r="867" spans="1:17">
      <c r="A867" t="str">
        <v>867行</v>
      </c>
      <c r="B867" t="str">
        <f ca="1"/>
        <v/>
      </c>
      <c r="Q867" t="s">
        <v>970</v>
      </c>
    </row>
    <row r="868" spans="1:17">
      <c r="A868" t="str">
        <v>868行</v>
      </c>
      <c r="B868" t="str">
        <f ca="1"/>
        <v/>
      </c>
    </row>
    <row r="869" spans="1:17">
      <c r="A869" t="str">
        <v>869行</v>
      </c>
      <c r="B869" t="str">
        <f ca="1"/>
        <v/>
      </c>
    </row>
    <row r="870" spans="1:17">
      <c r="A870" t="str">
        <v>870行</v>
      </c>
      <c r="B870" t="str">
        <f ca="1"/>
        <v/>
      </c>
    </row>
    <row r="871" spans="1:17">
      <c r="A871" t="str">
        <v>871行</v>
      </c>
      <c r="B871" t="str">
        <f ca="1"/>
        <v/>
      </c>
    </row>
    <row r="872" spans="1:17">
      <c r="A872" t="str">
        <v>872行</v>
      </c>
      <c r="B872" t="str">
        <f ca="1"/>
        <v/>
      </c>
    </row>
    <row r="873" spans="1:17">
      <c r="A873" t="str">
        <v>873行</v>
      </c>
      <c r="B873" t="str">
        <f ca="1"/>
        <v/>
      </c>
    </row>
    <row r="874" spans="1:17">
      <c r="A874" t="str">
        <v>874行</v>
      </c>
      <c r="B874" t="str">
        <f ca="1"/>
        <v/>
      </c>
    </row>
    <row r="875" spans="1:17">
      <c r="A875" t="str">
        <v>875行</v>
      </c>
      <c r="B875" t="str">
        <f ca="1"/>
        <v/>
      </c>
    </row>
    <row r="876" spans="1:17">
      <c r="A876" t="str">
        <v>876行</v>
      </c>
      <c r="B876" t="str">
        <f ca="1"/>
        <v/>
      </c>
    </row>
    <row r="877" spans="1:17">
      <c r="A877" t="str">
        <v>877行</v>
      </c>
      <c r="B877" t="str">
        <f ca="1"/>
        <v/>
      </c>
    </row>
    <row r="878" spans="1:17">
      <c r="A878" t="str">
        <v>878行</v>
      </c>
      <c r="B878" t="str">
        <f ca="1"/>
        <v/>
      </c>
    </row>
    <row r="879" spans="1:17">
      <c r="A879" t="str">
        <v>879行</v>
      </c>
      <c r="B879" t="str">
        <f ca="1"/>
        <v/>
      </c>
    </row>
    <row r="880" spans="1:17">
      <c r="A880" t="str">
        <v>880行</v>
      </c>
      <c r="B880" t="str">
        <f ca="1"/>
        <v/>
      </c>
    </row>
    <row r="881" spans="1:17">
      <c r="A881" t="str">
        <v>881行</v>
      </c>
      <c r="B881" t="str">
        <f ca="1"/>
        <v/>
      </c>
      <c r="Q881" t="s">
        <v>970</v>
      </c>
    </row>
    <row r="882" spans="1:17">
      <c r="A882" t="str">
        <v>882行</v>
      </c>
      <c r="B882" t="str">
        <f ca="1"/>
        <v/>
      </c>
      <c r="Q882" t="s">
        <v>970</v>
      </c>
    </row>
    <row r="883" spans="1:17">
      <c r="A883" t="str">
        <v>883行</v>
      </c>
      <c r="B883" t="str">
        <f ca="1"/>
        <v/>
      </c>
      <c r="Q883" t="s">
        <v>970</v>
      </c>
    </row>
    <row r="884" spans="1:17">
      <c r="A884" t="str">
        <v>884行</v>
      </c>
      <c r="B884" t="str">
        <f ca="1"/>
        <v/>
      </c>
      <c r="Q884" t="s">
        <v>970</v>
      </c>
    </row>
    <row r="885" spans="1:17">
      <c r="A885" t="str">
        <v>885行</v>
      </c>
      <c r="B885" t="str">
        <f ca="1"/>
        <v/>
      </c>
      <c r="Q885" t="s">
        <v>970</v>
      </c>
    </row>
    <row r="886" spans="1:17">
      <c r="A886" t="str">
        <v>886行</v>
      </c>
      <c r="B886" t="str">
        <f ca="1"/>
        <v/>
      </c>
      <c r="Q886" t="s">
        <v>970</v>
      </c>
    </row>
    <row r="887" spans="1:17">
      <c r="A887" t="str">
        <v>887行</v>
      </c>
      <c r="B887" t="str">
        <f ca="1"/>
        <v/>
      </c>
      <c r="Q887" t="s">
        <v>970</v>
      </c>
    </row>
    <row r="888" spans="1:17">
      <c r="A888" t="str">
        <v>888行</v>
      </c>
      <c r="B888" t="str">
        <f ca="1"/>
        <v/>
      </c>
      <c r="Q888" t="s">
        <v>970</v>
      </c>
    </row>
    <row r="889" spans="1:17">
      <c r="A889" t="str">
        <v>889行</v>
      </c>
      <c r="B889" t="str">
        <f ca="1"/>
        <v/>
      </c>
      <c r="Q889" t="s">
        <v>970</v>
      </c>
    </row>
    <row r="890" spans="1:17">
      <c r="A890" t="str">
        <v>890行</v>
      </c>
      <c r="B890" t="str">
        <f ca="1"/>
        <v/>
      </c>
      <c r="Q890" t="s">
        <v>970</v>
      </c>
    </row>
    <row r="891" spans="1:17">
      <c r="A891" t="str">
        <v>891行</v>
      </c>
      <c r="B891" t="str">
        <f ca="1"/>
        <v/>
      </c>
      <c r="Q891" t="s">
        <v>970</v>
      </c>
    </row>
    <row r="892" spans="1:17">
      <c r="A892" t="str">
        <v>892行</v>
      </c>
      <c r="B892" t="str">
        <f ca="1"/>
        <v/>
      </c>
      <c r="Q892" t="s">
        <v>970</v>
      </c>
    </row>
    <row r="893" spans="1:17">
      <c r="A893" t="str">
        <v>893行</v>
      </c>
      <c r="B893" t="str">
        <f ca="1"/>
        <v/>
      </c>
    </row>
    <row r="894" spans="1:17">
      <c r="A894" t="str">
        <v>894行</v>
      </c>
      <c r="B894" t="str">
        <f ca="1"/>
        <v/>
      </c>
    </row>
    <row r="895" spans="1:17">
      <c r="A895" t="str">
        <v>895行</v>
      </c>
      <c r="B895" t="str">
        <f ca="1"/>
        <v/>
      </c>
    </row>
    <row r="896" spans="1:17">
      <c r="A896" t="str">
        <v>896行</v>
      </c>
      <c r="B896" t="str">
        <f ca="1"/>
        <v/>
      </c>
    </row>
    <row r="897" spans="1:2">
      <c r="A897" t="str">
        <v>897行</v>
      </c>
      <c r="B897" t="str">
        <f ca="1"/>
        <v/>
      </c>
    </row>
    <row r="898" spans="1:2">
      <c r="A898" t="str">
        <v>898行</v>
      </c>
      <c r="B898" t="str">
        <f ca="1"/>
        <v/>
      </c>
    </row>
    <row r="899" spans="1:2">
      <c r="A899" t="str">
        <v>899行</v>
      </c>
      <c r="B899" t="str">
        <f ca="1"/>
        <v/>
      </c>
    </row>
    <row r="900" spans="1:2">
      <c r="A900" t="str">
        <v>900行</v>
      </c>
      <c r="B900" t="str">
        <f ca="1"/>
        <v/>
      </c>
    </row>
    <row r="901" spans="1:2">
      <c r="A901" t="str">
        <v>901行</v>
      </c>
      <c r="B901" t="str">
        <f ca="1"/>
        <v/>
      </c>
    </row>
    <row r="902" spans="1:2">
      <c r="A902" t="str">
        <v>902行</v>
      </c>
      <c r="B902" t="str">
        <f ca="1"/>
        <v/>
      </c>
    </row>
    <row r="903" spans="1:2">
      <c r="A903" t="str">
        <v>903行</v>
      </c>
      <c r="B903" t="str">
        <f ca="1"/>
        <v/>
      </c>
    </row>
    <row r="904" spans="1:2">
      <c r="A904" t="str">
        <v>904行</v>
      </c>
      <c r="B904" t="str">
        <f ca="1"/>
        <v/>
      </c>
    </row>
    <row r="905" spans="1:2">
      <c r="A905" t="str">
        <v>905行</v>
      </c>
      <c r="B905" t="str">
        <f ca="1"/>
        <v/>
      </c>
    </row>
    <row r="906" spans="1:2">
      <c r="A906" t="str">
        <v>906行</v>
      </c>
      <c r="B906" t="str">
        <f ca="1"/>
        <v/>
      </c>
    </row>
    <row r="907" spans="1:2">
      <c r="A907" t="str">
        <v>907行</v>
      </c>
      <c r="B907" t="str">
        <f ca="1"/>
        <v/>
      </c>
    </row>
    <row r="908" spans="1:2">
      <c r="A908" t="str">
        <v>908行</v>
      </c>
      <c r="B908" t="str">
        <f ca="1"/>
        <v/>
      </c>
    </row>
    <row r="909" spans="1:2">
      <c r="A909" t="str">
        <v>909行</v>
      </c>
      <c r="B909" t="str">
        <f ca="1"/>
        <v/>
      </c>
    </row>
    <row r="910" spans="1:2">
      <c r="A910" t="str">
        <v>910行</v>
      </c>
      <c r="B910" t="str">
        <f ca="1"/>
        <v/>
      </c>
    </row>
    <row r="911" spans="1:2">
      <c r="A911" t="str">
        <v>911行</v>
      </c>
      <c r="B911" t="str">
        <f ca="1"/>
        <v/>
      </c>
    </row>
    <row r="912" spans="1:2">
      <c r="A912" t="str">
        <v>912行</v>
      </c>
      <c r="B912" t="str">
        <f ca="1"/>
        <v/>
      </c>
    </row>
    <row r="913" spans="1:2">
      <c r="A913" t="str">
        <v>913行</v>
      </c>
      <c r="B913" t="str">
        <f ca="1"/>
        <v/>
      </c>
    </row>
    <row r="914" spans="1:2">
      <c r="A914" t="str">
        <v>914行</v>
      </c>
      <c r="B914" t="str">
        <f ca="1"/>
        <v/>
      </c>
    </row>
    <row r="915" spans="1:2">
      <c r="A915" t="str">
        <v>915行</v>
      </c>
      <c r="B915" t="str">
        <f ca="1"/>
        <v/>
      </c>
    </row>
    <row r="916" spans="1:2">
      <c r="A916" t="str">
        <v>916行</v>
      </c>
      <c r="B916" t="str">
        <f ca="1"/>
        <v/>
      </c>
    </row>
    <row r="917" spans="1:2">
      <c r="A917" t="str">
        <v>917行</v>
      </c>
      <c r="B917" t="str">
        <f ca="1"/>
        <v/>
      </c>
    </row>
    <row r="918" spans="1:2">
      <c r="A918" t="str">
        <v>918行</v>
      </c>
      <c r="B918" t="str">
        <f ca="1"/>
        <v/>
      </c>
    </row>
    <row r="919" spans="1:2">
      <c r="A919" t="str">
        <v>919行</v>
      </c>
      <c r="B919" t="str">
        <f ca="1"/>
        <v/>
      </c>
    </row>
    <row r="920" spans="1:2">
      <c r="A920" t="str">
        <v>920行</v>
      </c>
      <c r="B920" t="str">
        <f ca="1"/>
        <v/>
      </c>
    </row>
    <row r="921" spans="1:2">
      <c r="A921" t="str">
        <v>921行</v>
      </c>
      <c r="B921" t="str">
        <f ca="1"/>
        <v/>
      </c>
    </row>
    <row r="922" spans="1:2">
      <c r="A922" t="str">
        <v>922行</v>
      </c>
      <c r="B922" t="str">
        <f ca="1"/>
        <v/>
      </c>
    </row>
    <row r="923" spans="1:2">
      <c r="A923" t="str">
        <v>923行</v>
      </c>
      <c r="B923" t="str">
        <f ca="1"/>
        <v/>
      </c>
    </row>
    <row r="924" spans="1:2">
      <c r="A924" t="str">
        <v>924行</v>
      </c>
      <c r="B924" t="str">
        <f ca="1"/>
        <v/>
      </c>
    </row>
    <row r="925" spans="1:2">
      <c r="A925" t="str">
        <v>925行</v>
      </c>
      <c r="B925" t="str">
        <f ca="1"/>
        <v/>
      </c>
    </row>
    <row r="926" spans="1:2">
      <c r="A926" t="str">
        <v>926行</v>
      </c>
      <c r="B926" t="str">
        <f ca="1"/>
        <v/>
      </c>
    </row>
    <row r="927" spans="1:2">
      <c r="A927" t="str">
        <v>927行</v>
      </c>
      <c r="B927" t="str">
        <f ca="1"/>
        <v/>
      </c>
    </row>
    <row r="928" spans="1:2">
      <c r="A928" t="str">
        <v>928行</v>
      </c>
      <c r="B928" t="str">
        <f ca="1"/>
        <v/>
      </c>
    </row>
    <row r="929" spans="1:2">
      <c r="A929" t="str">
        <v>929行</v>
      </c>
      <c r="B929" t="str">
        <f ca="1"/>
        <v/>
      </c>
    </row>
    <row r="930" spans="1:2">
      <c r="A930" t="str">
        <v>930行</v>
      </c>
      <c r="B930" t="str">
        <f ca="1"/>
        <v/>
      </c>
    </row>
    <row r="931" spans="1:2">
      <c r="A931" t="str">
        <v>931行</v>
      </c>
      <c r="B931" t="str">
        <f ca="1"/>
        <v/>
      </c>
    </row>
    <row r="932" spans="1:2">
      <c r="A932" t="str">
        <v>932行</v>
      </c>
      <c r="B932" t="str">
        <f ca="1"/>
        <v/>
      </c>
    </row>
    <row r="933" spans="1:2">
      <c r="A933" t="str">
        <v>933行</v>
      </c>
      <c r="B933" t="str">
        <f ca="1"/>
        <v/>
      </c>
    </row>
    <row r="934" spans="1:2">
      <c r="A934" t="str">
        <v>934行</v>
      </c>
      <c r="B934" t="str">
        <f ca="1"/>
        <v/>
      </c>
    </row>
    <row r="935" spans="1:2">
      <c r="A935" t="str">
        <v>935行</v>
      </c>
      <c r="B935" t="str">
        <f ca="1"/>
        <v/>
      </c>
    </row>
    <row r="936" spans="1:2">
      <c r="A936" t="str">
        <v>936行</v>
      </c>
      <c r="B936" t="str">
        <f ca="1"/>
        <v/>
      </c>
    </row>
    <row r="937" spans="1:2">
      <c r="A937" t="str">
        <v>937行</v>
      </c>
      <c r="B937" t="str">
        <f ca="1"/>
        <v/>
      </c>
    </row>
    <row r="938" spans="1:2">
      <c r="A938" t="str">
        <v>938行</v>
      </c>
      <c r="B938" t="str">
        <f ca="1"/>
        <v/>
      </c>
    </row>
    <row r="939" spans="1:2">
      <c r="A939" t="str">
        <v>939行</v>
      </c>
      <c r="B939" t="str">
        <f ca="1"/>
        <v/>
      </c>
    </row>
    <row r="940" spans="1:2">
      <c r="A940" t="str">
        <v>940行</v>
      </c>
      <c r="B940" t="str">
        <f ca="1"/>
        <v/>
      </c>
    </row>
    <row r="941" spans="1:2">
      <c r="A941" t="str">
        <v>941行</v>
      </c>
      <c r="B941" t="str">
        <f ca="1"/>
        <v/>
      </c>
    </row>
    <row r="942" spans="1:2">
      <c r="A942" t="str">
        <v>942行</v>
      </c>
      <c r="B942" t="str">
        <f ca="1"/>
        <v/>
      </c>
    </row>
    <row r="943" spans="1:2">
      <c r="A943" t="str">
        <v>943行</v>
      </c>
      <c r="B943" t="str">
        <f ca="1"/>
        <v/>
      </c>
    </row>
    <row r="944" spans="1:2">
      <c r="A944" t="str">
        <v>944行</v>
      </c>
      <c r="B944" t="str">
        <f ca="1"/>
        <v/>
      </c>
    </row>
    <row r="945" spans="1:2">
      <c r="A945" t="str">
        <v>945行</v>
      </c>
      <c r="B945" t="str">
        <f ca="1"/>
        <v/>
      </c>
    </row>
    <row r="946" spans="1:2">
      <c r="A946" t="str">
        <v>946行</v>
      </c>
      <c r="B946" t="str">
        <f ca="1"/>
        <v/>
      </c>
    </row>
    <row r="947" spans="1:2">
      <c r="A947" t="str">
        <v>947行</v>
      </c>
      <c r="B947" t="str">
        <f ca="1"/>
        <v/>
      </c>
    </row>
    <row r="948" spans="1:2">
      <c r="A948" t="str">
        <v>948行</v>
      </c>
      <c r="B948" t="str">
        <f ca="1"/>
        <v/>
      </c>
    </row>
    <row r="949" spans="1:2">
      <c r="A949" t="str">
        <v>949行</v>
      </c>
      <c r="B949" t="str">
        <f ca="1"/>
        <v/>
      </c>
    </row>
    <row r="950" spans="1:2">
      <c r="A950" t="str">
        <v>950行</v>
      </c>
      <c r="B950" t="str">
        <f ca="1"/>
        <v/>
      </c>
    </row>
    <row r="951" spans="1:2">
      <c r="A951" t="str">
        <v>951行</v>
      </c>
      <c r="B951" t="str">
        <f ca="1"/>
        <v/>
      </c>
    </row>
    <row r="952" spans="1:2">
      <c r="A952" t="str">
        <v>952行</v>
      </c>
      <c r="B952" t="str">
        <f ca="1"/>
        <v/>
      </c>
    </row>
    <row r="953" spans="1:2">
      <c r="A953" t="str">
        <v>953行</v>
      </c>
      <c r="B953" t="str">
        <f ca="1"/>
        <v/>
      </c>
    </row>
    <row r="954" spans="1:2">
      <c r="A954" t="str">
        <v>954行</v>
      </c>
      <c r="B954" t="str">
        <f ca="1"/>
        <v/>
      </c>
    </row>
    <row r="955" spans="1:2">
      <c r="A955" t="str">
        <v>955行</v>
      </c>
      <c r="B955" t="str">
        <f ca="1"/>
        <v/>
      </c>
    </row>
    <row r="956" spans="1:2">
      <c r="A956" t="str">
        <v>956行</v>
      </c>
      <c r="B956" t="str">
        <f ca="1"/>
        <v/>
      </c>
    </row>
    <row r="957" spans="1:2">
      <c r="A957" t="str">
        <v>957行</v>
      </c>
      <c r="B957" t="str">
        <f ca="1"/>
        <v/>
      </c>
    </row>
    <row r="958" spans="1:2">
      <c r="A958" t="str">
        <v>958行</v>
      </c>
      <c r="B958" t="str">
        <f ca="1"/>
        <v/>
      </c>
    </row>
    <row r="959" spans="1:2">
      <c r="A959" t="str">
        <v>959行</v>
      </c>
      <c r="B959" t="str">
        <f ca="1"/>
        <v/>
      </c>
    </row>
    <row r="960" spans="1:2">
      <c r="A960" t="str">
        <v>960行</v>
      </c>
      <c r="B960" t="str">
        <f ca="1"/>
        <v/>
      </c>
    </row>
    <row r="961" spans="1:2">
      <c r="A961" t="str">
        <v>961行</v>
      </c>
      <c r="B961" t="str">
        <f ca="1"/>
        <v/>
      </c>
    </row>
    <row r="962" spans="1:2">
      <c r="A962" t="str">
        <v>962行</v>
      </c>
      <c r="B962" t="str">
        <f ca="1"/>
        <v/>
      </c>
    </row>
    <row r="963" spans="1:2">
      <c r="A963" t="str">
        <v>963行</v>
      </c>
      <c r="B963" t="str">
        <f ca="1"/>
        <v/>
      </c>
    </row>
    <row r="964" spans="1:2">
      <c r="A964" t="str">
        <v>964行</v>
      </c>
      <c r="B964" t="str">
        <f ca="1"/>
        <v/>
      </c>
    </row>
    <row r="965" spans="1:2">
      <c r="A965" t="str">
        <v>965行</v>
      </c>
      <c r="B965" t="str">
        <f ca="1"/>
        <v/>
      </c>
    </row>
    <row r="966" spans="1:2">
      <c r="A966" t="str">
        <v>966行</v>
      </c>
      <c r="B966" t="str">
        <f ca="1"/>
        <v/>
      </c>
    </row>
    <row r="967" spans="1:2">
      <c r="A967" t="str">
        <v>967行</v>
      </c>
      <c r="B967" t="str">
        <f ca="1"/>
        <v/>
      </c>
    </row>
    <row r="968" spans="1:2">
      <c r="A968" t="str">
        <v>968行</v>
      </c>
      <c r="B968" t="str">
        <f ca="1"/>
        <v/>
      </c>
    </row>
    <row r="969" spans="1:2">
      <c r="A969" t="str">
        <v>969行</v>
      </c>
      <c r="B969" t="str">
        <f ca="1"/>
        <v/>
      </c>
    </row>
    <row r="970" spans="1:2">
      <c r="A970" t="str">
        <v>970行</v>
      </c>
      <c r="B970" t="str">
        <f ca="1"/>
        <v/>
      </c>
    </row>
    <row r="971" spans="1:2">
      <c r="A971" t="str">
        <v>971行</v>
      </c>
      <c r="B971" t="str">
        <f ca="1"/>
        <v/>
      </c>
    </row>
    <row r="972" spans="1:2">
      <c r="A972" t="str">
        <v>972行</v>
      </c>
      <c r="B972" t="str">
        <f ca="1"/>
        <v/>
      </c>
    </row>
    <row r="973" spans="1:2">
      <c r="A973" t="str">
        <v>973行</v>
      </c>
      <c r="B973" t="str">
        <f ca="1"/>
        <v/>
      </c>
    </row>
    <row r="974" spans="1:2">
      <c r="A974" t="str">
        <v>974行</v>
      </c>
      <c r="B974" t="str">
        <f ca="1"/>
        <v/>
      </c>
    </row>
    <row r="975" spans="1:2">
      <c r="A975" t="str">
        <v>975行</v>
      </c>
      <c r="B975" t="str">
        <f ca="1"/>
        <v/>
      </c>
    </row>
    <row r="976" spans="1:2">
      <c r="A976" t="str">
        <v>976行</v>
      </c>
      <c r="B976" t="str">
        <f ca="1"/>
        <v/>
      </c>
    </row>
    <row r="977" spans="1:2">
      <c r="A977" t="str">
        <v>977行</v>
      </c>
      <c r="B977" t="str">
        <f ca="1"/>
        <v/>
      </c>
    </row>
    <row r="978" spans="1:2">
      <c r="A978" t="str">
        <v>978行</v>
      </c>
      <c r="B978" t="str">
        <f ca="1"/>
        <v/>
      </c>
    </row>
    <row r="979" spans="1:2">
      <c r="A979" t="str">
        <v>979行</v>
      </c>
      <c r="B979" t="str">
        <f ca="1"/>
        <v/>
      </c>
    </row>
    <row r="980" spans="1:2">
      <c r="A980" t="str">
        <v>980行</v>
      </c>
      <c r="B980" t="str">
        <f ca="1"/>
        <v/>
      </c>
    </row>
    <row r="981" spans="1:2">
      <c r="A981" t="str">
        <v>981行</v>
      </c>
      <c r="B981" t="str">
        <f ca="1"/>
        <v/>
      </c>
    </row>
    <row r="982" spans="1:2">
      <c r="A982" t="str">
        <v>982行</v>
      </c>
      <c r="B982" t="str">
        <f ca="1"/>
        <v/>
      </c>
    </row>
    <row r="983" spans="1:2">
      <c r="A983" t="str">
        <v>983行</v>
      </c>
      <c r="B983" t="str">
        <f ca="1"/>
        <v/>
      </c>
    </row>
    <row r="984" spans="1:2">
      <c r="A984" t="str">
        <v>984行</v>
      </c>
      <c r="B984" t="str">
        <f ca="1"/>
        <v/>
      </c>
    </row>
    <row r="985" spans="1:2">
      <c r="A985" t="str">
        <v>985行</v>
      </c>
      <c r="B985" t="str">
        <f ca="1"/>
        <v/>
      </c>
    </row>
    <row r="986" spans="1:2">
      <c r="A986" t="str">
        <v>986行</v>
      </c>
      <c r="B986" t="str">
        <f ca="1"/>
        <v/>
      </c>
    </row>
    <row r="987" spans="1:2">
      <c r="A987" t="str">
        <v>987行</v>
      </c>
      <c r="B987" t="str">
        <f ca="1"/>
        <v/>
      </c>
    </row>
    <row r="988" spans="1:2">
      <c r="A988" t="str">
        <v>988行</v>
      </c>
      <c r="B988" t="str">
        <f ca="1"/>
        <v/>
      </c>
    </row>
    <row r="989" spans="1:2">
      <c r="A989" t="str">
        <v>989行</v>
      </c>
      <c r="B989" t="str">
        <f ca="1"/>
        <v/>
      </c>
    </row>
    <row r="990" spans="1:2">
      <c r="A990" t="str">
        <v>990行</v>
      </c>
      <c r="B990" t="str">
        <f ca="1"/>
        <v/>
      </c>
    </row>
    <row r="991" spans="1:2">
      <c r="A991" t="str">
        <v>991行</v>
      </c>
      <c r="B991" t="str">
        <f ca="1"/>
        <v/>
      </c>
    </row>
    <row r="992" spans="1:2">
      <c r="A992" t="str">
        <v>992行</v>
      </c>
      <c r="B992" t="str">
        <f ca="1"/>
        <v/>
      </c>
    </row>
    <row r="993" spans="1:2">
      <c r="A993" t="str">
        <v>993行</v>
      </c>
      <c r="B993" t="str">
        <f ca="1"/>
        <v/>
      </c>
    </row>
    <row r="994" spans="1:2">
      <c r="A994" t="str">
        <v>994行</v>
      </c>
      <c r="B994" t="str">
        <f ca="1"/>
        <v/>
      </c>
    </row>
    <row r="995" spans="1:2">
      <c r="A995" t="str">
        <v>995行</v>
      </c>
      <c r="B995" t="str">
        <f ca="1"/>
        <v/>
      </c>
    </row>
    <row r="996" spans="1:2">
      <c r="A996" t="str">
        <v>996行</v>
      </c>
      <c r="B996" t="str">
        <f ca="1"/>
        <v/>
      </c>
    </row>
    <row r="997" spans="1:2">
      <c r="A997" t="str">
        <v>997行</v>
      </c>
      <c r="B997" t="str">
        <f ca="1"/>
        <v/>
      </c>
    </row>
    <row r="998" spans="1:2">
      <c r="A998" t="str">
        <v>998行</v>
      </c>
      <c r="B998" t="str">
        <f ca="1"/>
        <v/>
      </c>
    </row>
    <row r="999" spans="1:2">
      <c r="A999" t="str">
        <v>999行</v>
      </c>
      <c r="B999" t="str">
        <f ca="1"/>
        <v/>
      </c>
    </row>
    <row r="1000" spans="1:2">
      <c r="A1000" t="str">
        <v>1000行</v>
      </c>
      <c r="B1000" t="str">
        <f ca="1"/>
        <v/>
      </c>
    </row>
    <row r="1001" spans="1:2">
      <c r="A1001" t="str">
        <v>1001行</v>
      </c>
      <c r="B1001" t="str">
        <f ca="1"/>
        <v/>
      </c>
    </row>
    <row r="1002" spans="1:2">
      <c r="A1002" t="str">
        <v>1002行</v>
      </c>
      <c r="B1002" t="str">
        <f ca="1"/>
        <v/>
      </c>
    </row>
    <row r="1003" spans="1:2">
      <c r="A1003" t="str">
        <v>1003行</v>
      </c>
      <c r="B1003" t="str">
        <f ca="1"/>
        <v/>
      </c>
    </row>
    <row r="1004" spans="1:2">
      <c r="A1004" t="str">
        <v>1004行</v>
      </c>
      <c r="B1004" t="str">
        <f ca="1"/>
        <v/>
      </c>
    </row>
    <row r="1005" spans="1:2">
      <c r="A1005" t="str">
        <v>1005行</v>
      </c>
      <c r="B1005" t="str">
        <f ca="1"/>
        <v/>
      </c>
    </row>
    <row r="1006" spans="1:2">
      <c r="A1006" t="str">
        <v>1006行</v>
      </c>
      <c r="B1006" t="str">
        <f ca="1"/>
        <v/>
      </c>
    </row>
    <row r="1007" spans="1:2">
      <c r="A1007" t="str">
        <v>1007行</v>
      </c>
      <c r="B1007" t="str">
        <f ca="1"/>
        <v/>
      </c>
    </row>
    <row r="1008" spans="1:2">
      <c r="A1008" t="str">
        <v>1008行</v>
      </c>
      <c r="B1008" t="str">
        <f ca="1"/>
        <v/>
      </c>
    </row>
    <row r="1009" spans="1:2">
      <c r="A1009" t="str">
        <v>1009行</v>
      </c>
      <c r="B1009" t="str">
        <f ca="1"/>
        <v/>
      </c>
    </row>
    <row r="1010" spans="1:2">
      <c r="A1010" t="str">
        <v>1010行</v>
      </c>
      <c r="B1010" t="str">
        <f ca="1"/>
        <v/>
      </c>
    </row>
    <row r="1011" spans="1:2">
      <c r="A1011" t="str">
        <v>1011行</v>
      </c>
      <c r="B1011" t="str">
        <f ca="1"/>
        <v/>
      </c>
    </row>
    <row r="1012" spans="1:2">
      <c r="A1012" t="str">
        <v>1012行</v>
      </c>
      <c r="B1012" t="str">
        <f ca="1"/>
        <v/>
      </c>
    </row>
    <row r="1013" spans="1:2">
      <c r="A1013" t="str">
        <v>1013行</v>
      </c>
      <c r="B1013" t="str">
        <f ca="1"/>
        <v/>
      </c>
    </row>
    <row r="1014" spans="1:2">
      <c r="A1014" t="str">
        <v>1014行</v>
      </c>
      <c r="B1014" t="str">
        <f ca="1"/>
        <v/>
      </c>
    </row>
    <row r="1015" spans="1:2">
      <c r="A1015" t="str">
        <v>1015行</v>
      </c>
      <c r="B1015" t="str">
        <f ca="1"/>
        <v/>
      </c>
    </row>
    <row r="1016" spans="1:2">
      <c r="A1016" t="str">
        <v>1016行</v>
      </c>
      <c r="B1016" t="str">
        <f ca="1"/>
        <v/>
      </c>
    </row>
    <row r="1017" spans="1:2">
      <c r="A1017" t="str">
        <v>1017行</v>
      </c>
      <c r="B1017" t="str">
        <f ca="1"/>
        <v/>
      </c>
    </row>
    <row r="1018" spans="1:2">
      <c r="A1018" t="str">
        <v>1018行</v>
      </c>
      <c r="B1018" t="str">
        <f ca="1"/>
        <v/>
      </c>
    </row>
    <row r="1019" spans="1:2">
      <c r="A1019" t="str">
        <v>1019行</v>
      </c>
      <c r="B1019" t="str">
        <f ca="1"/>
        <v/>
      </c>
    </row>
    <row r="1020" spans="1:2">
      <c r="A1020" t="str">
        <v>1020行</v>
      </c>
      <c r="B1020" t="str">
        <f ca="1"/>
        <v/>
      </c>
    </row>
    <row r="1021" spans="1:2">
      <c r="A1021" t="str">
        <v>1021行</v>
      </c>
      <c r="B1021" t="str">
        <f ca="1"/>
        <v/>
      </c>
    </row>
    <row r="1022" spans="1:2">
      <c r="A1022" t="str">
        <v>1022行</v>
      </c>
      <c r="B1022" t="str">
        <f ca="1"/>
        <v/>
      </c>
    </row>
    <row r="1023" spans="1:2">
      <c r="A1023" t="str">
        <v>1023行</v>
      </c>
      <c r="B1023" t="str">
        <f ca="1"/>
        <v/>
      </c>
    </row>
    <row r="1024" spans="1:2">
      <c r="A1024" t="str">
        <v>1024行</v>
      </c>
      <c r="B1024" t="str">
        <f ca="1"/>
        <v/>
      </c>
    </row>
    <row r="1025" spans="1:2">
      <c r="A1025" t="str">
        <v>1025行</v>
      </c>
      <c r="B1025" t="str">
        <f ca="1"/>
        <v/>
      </c>
    </row>
    <row r="1026" spans="1:2">
      <c r="A1026" t="str">
        <v>1026行</v>
      </c>
      <c r="B1026" t="str">
        <f ca="1"/>
        <v/>
      </c>
    </row>
    <row r="1027" spans="1:2">
      <c r="A1027" t="str">
        <v>1027行</v>
      </c>
      <c r="B1027" t="str">
        <f ca="1"/>
        <v/>
      </c>
    </row>
    <row r="1028" spans="1:2">
      <c r="A1028" t="str">
        <v>1028行</v>
      </c>
      <c r="B1028" t="str">
        <f ca="1"/>
        <v/>
      </c>
    </row>
    <row r="1029" spans="1:2">
      <c r="A1029" t="str">
        <v>1029行</v>
      </c>
      <c r="B1029" t="str">
        <f ca="1"/>
        <v/>
      </c>
    </row>
    <row r="1030" spans="1:2">
      <c r="A1030" t="str">
        <v>1030行</v>
      </c>
      <c r="B1030" t="str">
        <f ca="1"/>
        <v/>
      </c>
    </row>
    <row r="1031" spans="1:2">
      <c r="A1031" t="str">
        <v>1031行</v>
      </c>
      <c r="B1031" t="str">
        <f ca="1"/>
        <v/>
      </c>
    </row>
    <row r="1032" spans="1:2">
      <c r="A1032" t="str">
        <v>1032行</v>
      </c>
      <c r="B1032" t="str">
        <f ca="1"/>
        <v/>
      </c>
    </row>
    <row r="1033" spans="1:2">
      <c r="A1033" t="str">
        <v>1033行</v>
      </c>
      <c r="B1033" t="str">
        <f ca="1"/>
        <v/>
      </c>
    </row>
    <row r="1034" spans="1:2">
      <c r="A1034" t="str">
        <v>1034行</v>
      </c>
      <c r="B1034" t="str">
        <f ca="1"/>
        <v/>
      </c>
    </row>
    <row r="1035" spans="1:2">
      <c r="A1035" t="str">
        <v>1035行</v>
      </c>
      <c r="B1035" t="str">
        <f ca="1"/>
        <v/>
      </c>
    </row>
    <row r="1036" spans="1:2">
      <c r="A1036" t="str">
        <v>1036行</v>
      </c>
      <c r="B1036" t="str">
        <f ca="1"/>
        <v/>
      </c>
    </row>
    <row r="1037" spans="1:2">
      <c r="A1037" t="str">
        <v>1037行</v>
      </c>
      <c r="B1037" t="str">
        <f ca="1"/>
        <v/>
      </c>
    </row>
    <row r="1038" spans="1:2">
      <c r="A1038" t="str">
        <v>1038行</v>
      </c>
      <c r="B1038" t="str">
        <f ca="1"/>
        <v/>
      </c>
    </row>
    <row r="1039" spans="1:2">
      <c r="A1039" t="str">
        <v>1039行</v>
      </c>
      <c r="B1039" t="str">
        <f ca="1"/>
        <v/>
      </c>
    </row>
    <row r="1040" spans="1:2">
      <c r="A1040" t="str">
        <v>1040行</v>
      </c>
      <c r="B1040" t="str">
        <f ca="1"/>
        <v/>
      </c>
    </row>
    <row r="1041" spans="1:2">
      <c r="A1041" t="str">
        <v>1041行</v>
      </c>
      <c r="B1041" t="str">
        <f ca="1"/>
        <v/>
      </c>
    </row>
    <row r="1042" spans="1:2">
      <c r="A1042" t="str">
        <v>1042行</v>
      </c>
      <c r="B1042" t="str">
        <f ca="1"/>
        <v/>
      </c>
    </row>
    <row r="1043" spans="1:2">
      <c r="A1043" t="str">
        <v>1043行</v>
      </c>
      <c r="B1043" t="str">
        <f ca="1"/>
        <v/>
      </c>
    </row>
    <row r="1044" spans="1:2">
      <c r="A1044" t="str">
        <v>1044行</v>
      </c>
      <c r="B1044" t="str">
        <f ca="1"/>
        <v/>
      </c>
    </row>
    <row r="1045" spans="1:2">
      <c r="A1045" t="str">
        <v>1045行</v>
      </c>
      <c r="B1045" t="str">
        <f ca="1"/>
        <v/>
      </c>
    </row>
    <row r="1046" spans="1:2">
      <c r="A1046" t="str">
        <v>1046行</v>
      </c>
      <c r="B1046" t="str">
        <f ca="1"/>
        <v/>
      </c>
    </row>
    <row r="1047" spans="1:2">
      <c r="A1047" t="str">
        <v>1047行</v>
      </c>
      <c r="B1047" t="str">
        <f ca="1"/>
        <v/>
      </c>
    </row>
    <row r="1048" spans="1:2">
      <c r="A1048" t="str">
        <v>1048行</v>
      </c>
      <c r="B1048" t="str">
        <f ca="1"/>
        <v/>
      </c>
    </row>
    <row r="1049" spans="1:2">
      <c r="A1049" t="str">
        <v>1049行</v>
      </c>
      <c r="B1049" t="str">
        <f ca="1"/>
        <v/>
      </c>
    </row>
    <row r="1050" spans="1:2">
      <c r="A1050" t="str">
        <v>1050行</v>
      </c>
      <c r="B1050" t="str">
        <f ca="1"/>
        <v/>
      </c>
    </row>
    <row r="1051" spans="1:2">
      <c r="A1051" t="str">
        <v>1051行</v>
      </c>
      <c r="B1051" t="str">
        <f ca="1"/>
        <v/>
      </c>
    </row>
    <row r="1052" spans="1:2">
      <c r="A1052" t="str">
        <v>1052行</v>
      </c>
      <c r="B1052" t="str">
        <f ca="1"/>
        <v/>
      </c>
    </row>
    <row r="1053" spans="1:2">
      <c r="A1053" t="str">
        <v>1053行</v>
      </c>
      <c r="B1053" t="str">
        <f ca="1"/>
        <v/>
      </c>
    </row>
    <row r="1054" spans="1:2">
      <c r="A1054" t="str">
        <v>1054行</v>
      </c>
      <c r="B1054" t="str">
        <f ca="1"/>
        <v/>
      </c>
    </row>
    <row r="1055" spans="1:2">
      <c r="A1055" t="str">
        <v>1055行</v>
      </c>
      <c r="B1055" t="str">
        <f ca="1"/>
        <v/>
      </c>
    </row>
    <row r="1056" spans="1:2">
      <c r="A1056" t="str">
        <v>1056行</v>
      </c>
      <c r="B1056" t="str">
        <f ca="1"/>
        <v/>
      </c>
    </row>
    <row r="1057" spans="1:2">
      <c r="A1057" t="str">
        <v>1057行</v>
      </c>
      <c r="B1057" t="str">
        <f ca="1"/>
        <v/>
      </c>
    </row>
    <row r="1058" spans="1:2">
      <c r="A1058" t="str">
        <v>1058行</v>
      </c>
      <c r="B1058" t="str">
        <f ca="1"/>
        <v/>
      </c>
    </row>
    <row r="1059" spans="1:2">
      <c r="A1059" t="str">
        <v>1059行</v>
      </c>
      <c r="B1059" t="str">
        <f ca="1"/>
        <v/>
      </c>
    </row>
    <row r="1060" spans="1:2">
      <c r="A1060" t="str">
        <v>1060行</v>
      </c>
      <c r="B1060" t="str">
        <f ca="1"/>
        <v/>
      </c>
    </row>
    <row r="1061" spans="1:2">
      <c r="A1061" t="str">
        <v>1061行</v>
      </c>
      <c r="B1061" t="str">
        <f ca="1"/>
        <v/>
      </c>
    </row>
    <row r="1062" spans="1:2">
      <c r="A1062" t="str">
        <v>1062行</v>
      </c>
      <c r="B1062" t="str">
        <f ca="1"/>
        <v/>
      </c>
    </row>
    <row r="1063" spans="1:2">
      <c r="A1063" t="str">
        <v>1063行</v>
      </c>
      <c r="B1063" t="str">
        <f ca="1"/>
        <v/>
      </c>
    </row>
    <row r="1064" spans="1:2">
      <c r="A1064" t="str">
        <v>1064行</v>
      </c>
      <c r="B1064" t="str">
        <f ca="1"/>
        <v/>
      </c>
    </row>
    <row r="1065" spans="1:2">
      <c r="A1065" t="str">
        <v>1065行</v>
      </c>
      <c r="B1065" t="str">
        <f ca="1"/>
        <v/>
      </c>
    </row>
    <row r="1066" spans="1:2">
      <c r="A1066" t="str">
        <v>1066行</v>
      </c>
      <c r="B1066" t="str">
        <f ca="1"/>
        <v/>
      </c>
    </row>
    <row r="1067" spans="1:2">
      <c r="A1067" t="str">
        <v>1067行</v>
      </c>
      <c r="B1067" t="str">
        <f ca="1"/>
        <v/>
      </c>
    </row>
    <row r="1068" spans="1:2">
      <c r="A1068" t="str">
        <v>1068行</v>
      </c>
      <c r="B1068" t="str">
        <f ca="1"/>
        <v/>
      </c>
    </row>
    <row r="1069" spans="1:2">
      <c r="A1069" t="str">
        <v>1069行</v>
      </c>
      <c r="B1069" t="str">
        <f ca="1"/>
        <v/>
      </c>
    </row>
    <row r="1070" spans="1:2">
      <c r="A1070" t="str">
        <v>1070行</v>
      </c>
      <c r="B1070" t="str">
        <f ca="1"/>
        <v/>
      </c>
    </row>
    <row r="1071" spans="1:2">
      <c r="A1071" t="str">
        <v>1071行</v>
      </c>
      <c r="B1071" t="str">
        <f ca="1"/>
        <v/>
      </c>
    </row>
    <row r="1072" spans="1:2">
      <c r="A1072" t="str">
        <v>1072行</v>
      </c>
      <c r="B1072" t="str">
        <f ca="1"/>
        <v/>
      </c>
    </row>
    <row r="1073" spans="1:2">
      <c r="A1073" t="str">
        <v>1073行</v>
      </c>
      <c r="B1073" t="str">
        <f ca="1"/>
        <v/>
      </c>
    </row>
    <row r="1074" spans="1:2">
      <c r="A1074" t="str">
        <v>1074行</v>
      </c>
      <c r="B1074" t="str">
        <f ca="1"/>
        <v/>
      </c>
    </row>
    <row r="1075" spans="1:2">
      <c r="A1075" t="str">
        <v>1075行</v>
      </c>
      <c r="B1075" t="str">
        <f ca="1"/>
        <v/>
      </c>
    </row>
    <row r="1076" spans="1:2">
      <c r="A1076" t="str">
        <v>1076行</v>
      </c>
      <c r="B1076" t="str">
        <f ca="1"/>
        <v/>
      </c>
    </row>
    <row r="1077" spans="1:2">
      <c r="A1077" t="str">
        <v>1077行</v>
      </c>
      <c r="B1077" t="str">
        <f ca="1"/>
        <v/>
      </c>
    </row>
    <row r="1078" spans="1:2">
      <c r="A1078" t="str">
        <v>1078行</v>
      </c>
      <c r="B1078" t="str">
        <f ca="1"/>
        <v/>
      </c>
    </row>
    <row r="1079" spans="1:2">
      <c r="A1079" t="str">
        <v>1079行</v>
      </c>
      <c r="B1079" t="str">
        <f ca="1"/>
        <v/>
      </c>
    </row>
    <row r="1080" spans="1:2">
      <c r="A1080" t="str">
        <v>1080行</v>
      </c>
      <c r="B1080" t="str">
        <f ca="1"/>
        <v/>
      </c>
    </row>
    <row r="1081" spans="1:2">
      <c r="A1081" t="str">
        <v>1081行</v>
      </c>
      <c r="B1081" t="str">
        <f ca="1"/>
        <v/>
      </c>
    </row>
    <row r="1082" spans="1:2">
      <c r="A1082" t="str">
        <v>1082行</v>
      </c>
      <c r="B1082" t="str">
        <f ca="1"/>
        <v/>
      </c>
    </row>
    <row r="1083" spans="1:2">
      <c r="A1083" t="str">
        <v>1083行</v>
      </c>
      <c r="B1083" t="str">
        <f ca="1"/>
        <v/>
      </c>
    </row>
    <row r="1084" spans="1:2">
      <c r="A1084" t="str">
        <v>1084行</v>
      </c>
      <c r="B1084" t="str">
        <f ca="1"/>
        <v/>
      </c>
    </row>
    <row r="1085" spans="1:2">
      <c r="A1085" t="str">
        <v>1085行</v>
      </c>
      <c r="B1085" t="str">
        <f ca="1"/>
        <v/>
      </c>
    </row>
    <row r="1086" spans="1:2">
      <c r="A1086" t="str">
        <v>1086行</v>
      </c>
      <c r="B1086" t="str">
        <f ca="1"/>
        <v/>
      </c>
    </row>
    <row r="1087" spans="1:2">
      <c r="A1087" t="str">
        <v>1087行</v>
      </c>
      <c r="B1087" t="str">
        <f ca="1"/>
        <v/>
      </c>
    </row>
    <row r="1088" spans="1:2">
      <c r="A1088" t="str">
        <v>1088行</v>
      </c>
      <c r="B1088" t="str">
        <f ca="1"/>
        <v/>
      </c>
    </row>
    <row r="1089" spans="1:2">
      <c r="A1089" t="str">
        <v>1089行</v>
      </c>
      <c r="B1089" t="str">
        <f ca="1"/>
        <v/>
      </c>
    </row>
    <row r="1090" spans="1:2">
      <c r="A1090" t="str">
        <v>1090行</v>
      </c>
      <c r="B1090" t="str">
        <f ca="1"/>
        <v/>
      </c>
    </row>
    <row r="1091" spans="1:2">
      <c r="A1091" t="str">
        <v>1091行</v>
      </c>
      <c r="B1091" t="str">
        <f ca="1"/>
        <v/>
      </c>
    </row>
    <row r="1092" spans="1:2">
      <c r="A1092" t="str">
        <v>1092行</v>
      </c>
      <c r="B1092" t="str">
        <f ca="1"/>
        <v/>
      </c>
    </row>
    <row r="1093" spans="1:2">
      <c r="A1093" t="str">
        <v>1093行</v>
      </c>
      <c r="B1093" t="str">
        <f ca="1"/>
        <v/>
      </c>
    </row>
    <row r="1094" spans="1:2">
      <c r="A1094" t="str">
        <v>1094行</v>
      </c>
      <c r="B1094" t="str">
        <f ca="1"/>
        <v/>
      </c>
    </row>
    <row r="1095" spans="1:2">
      <c r="A1095" t="str">
        <v>1095行</v>
      </c>
      <c r="B1095" t="str">
        <f ca="1"/>
        <v/>
      </c>
    </row>
    <row r="1096" spans="1:2">
      <c r="A1096" t="str">
        <v>1096行</v>
      </c>
      <c r="B1096" t="str">
        <f ca="1"/>
        <v/>
      </c>
    </row>
    <row r="1097" spans="1:2">
      <c r="A1097" t="str">
        <v>1097行</v>
      </c>
      <c r="B1097" t="str">
        <f ca="1"/>
        <v/>
      </c>
    </row>
    <row r="1098" spans="1:2">
      <c r="A1098" t="str">
        <v>1098行</v>
      </c>
      <c r="B1098" t="str">
        <f ca="1"/>
        <v/>
      </c>
    </row>
    <row r="1099" spans="1:2">
      <c r="A1099" t="str">
        <v>1099行</v>
      </c>
      <c r="B1099" t="str">
        <f ca="1"/>
        <v/>
      </c>
    </row>
    <row r="1100" spans="1:2">
      <c r="A1100" t="str">
        <v>1100行</v>
      </c>
      <c r="B1100" t="str">
        <f ca="1"/>
        <v/>
      </c>
    </row>
    <row r="1101" spans="1:2">
      <c r="A1101" t="str">
        <v>1101行</v>
      </c>
      <c r="B1101" t="str">
        <f ca="1"/>
        <v/>
      </c>
    </row>
    <row r="1102" spans="1:2">
      <c r="A1102" t="str">
        <v>1102行</v>
      </c>
      <c r="B1102" t="str">
        <f ca="1"/>
        <v/>
      </c>
    </row>
    <row r="1103" spans="1:2">
      <c r="A1103" t="str">
        <v>1103行</v>
      </c>
      <c r="B1103" t="str">
        <f ca="1"/>
        <v/>
      </c>
    </row>
    <row r="1104" spans="1:2">
      <c r="A1104" t="str">
        <v>1104行</v>
      </c>
      <c r="B1104" t="str">
        <f ca="1"/>
        <v/>
      </c>
    </row>
    <row r="1105" spans="1:2">
      <c r="A1105" t="str">
        <v>1105行</v>
      </c>
      <c r="B1105" t="str">
        <f ca="1"/>
        <v/>
      </c>
    </row>
    <row r="1106" spans="1:2">
      <c r="A1106" t="str">
        <v>1106行</v>
      </c>
      <c r="B1106" t="str">
        <f ca="1"/>
        <v/>
      </c>
    </row>
    <row r="1107" spans="1:2">
      <c r="A1107" t="str">
        <v>1107行</v>
      </c>
      <c r="B1107" t="str">
        <f ca="1"/>
        <v/>
      </c>
    </row>
    <row r="1108" spans="1:2">
      <c r="A1108" t="str">
        <v>1108行</v>
      </c>
      <c r="B1108" t="str">
        <f ca="1"/>
        <v/>
      </c>
    </row>
    <row r="1109" spans="1:2">
      <c r="A1109" t="str">
        <v>1109行</v>
      </c>
      <c r="B1109" t="str">
        <f ca="1"/>
        <v/>
      </c>
    </row>
    <row r="1110" spans="1:2">
      <c r="A1110" t="str">
        <v>1110行</v>
      </c>
      <c r="B1110" t="str">
        <f ca="1"/>
        <v/>
      </c>
    </row>
    <row r="1111" spans="1:2">
      <c r="A1111" t="str">
        <v>1111行</v>
      </c>
      <c r="B1111" t="str">
        <f ca="1"/>
        <v/>
      </c>
    </row>
    <row r="1112" spans="1:2">
      <c r="A1112" t="str">
        <v>1112行</v>
      </c>
      <c r="B1112" t="str">
        <f ca="1"/>
        <v/>
      </c>
    </row>
    <row r="1113" spans="1:2">
      <c r="A1113" t="str">
        <v>1113行</v>
      </c>
      <c r="B1113" t="str">
        <f ca="1"/>
        <v/>
      </c>
    </row>
    <row r="1114" spans="1:2">
      <c r="A1114" t="str">
        <v>1114行</v>
      </c>
      <c r="B1114" t="str">
        <f ca="1"/>
        <v/>
      </c>
    </row>
    <row r="1115" spans="1:2">
      <c r="A1115" t="str">
        <v>1115行</v>
      </c>
      <c r="B1115" t="str">
        <f ca="1"/>
        <v/>
      </c>
    </row>
    <row r="1116" spans="1:2">
      <c r="A1116" t="str">
        <v>1116行</v>
      </c>
      <c r="B1116" t="str">
        <f ca="1"/>
        <v/>
      </c>
    </row>
    <row r="1117" spans="1:2">
      <c r="A1117" t="str">
        <v>1117行</v>
      </c>
      <c r="B1117" t="str">
        <f ca="1"/>
        <v/>
      </c>
    </row>
    <row r="1118" spans="1:2">
      <c r="A1118" t="str">
        <v>1118行</v>
      </c>
      <c r="B1118" t="str">
        <f ca="1"/>
        <v/>
      </c>
    </row>
    <row r="1119" spans="1:2">
      <c r="A1119" t="str">
        <v>1119行</v>
      </c>
      <c r="B1119" t="str">
        <f ca="1"/>
        <v/>
      </c>
    </row>
    <row r="1120" spans="1:2">
      <c r="A1120" t="str">
        <v>1120行</v>
      </c>
      <c r="B1120" t="str">
        <f ca="1"/>
        <v/>
      </c>
    </row>
    <row r="1121" spans="1:28">
      <c r="A1121" t="str">
        <v>1121行</v>
      </c>
      <c r="B1121" t="str">
        <f ca="1"/>
        <v/>
      </c>
    </row>
    <row r="1122" spans="1:28" s="9" customFormat="1" ht="19.5" thickBot="1">
      <c r="A1122" s="9" t="str">
        <v>1122行</v>
      </c>
      <c r="B1122"/>
    </row>
    <row r="1123" spans="1:28" ht="19.5" thickTop="1">
      <c r="A1123" t="str">
        <v>1123行</v>
      </c>
    </row>
    <row r="1124" spans="1:28">
      <c r="A1124" t="str">
        <v>1124行</v>
      </c>
      <c r="L1124" t="s">
        <v>1003</v>
      </c>
      <c r="N1124" t="s">
        <v>1004</v>
      </c>
      <c r="O1124" s="6" t="s">
        <v>1005</v>
      </c>
      <c r="P1124" t="s">
        <v>1006</v>
      </c>
      <c r="R1124" t="s">
        <v>1007</v>
      </c>
      <c r="S1124" t="s">
        <v>1008</v>
      </c>
      <c r="X1124" s="12" t="s">
        <v>1006</v>
      </c>
      <c r="Y1124" s="13" t="s">
        <v>1005</v>
      </c>
      <c r="Z1124" s="13"/>
      <c r="AA1124" s="13"/>
      <c r="AB1124" s="14"/>
    </row>
    <row r="1125" spans="1:28">
      <c r="A1125" t="str">
        <v>1125行</v>
      </c>
    </row>
    <row r="1126" spans="1:28">
      <c r="A1126" t="str">
        <v>1126行</v>
      </c>
      <c r="N1126" t="s">
        <v>1147</v>
      </c>
      <c r="O1126" s="6" t="s">
        <v>1149</v>
      </c>
      <c r="R1126" t="s">
        <v>1148</v>
      </c>
    </row>
    <row r="1127" spans="1:28">
      <c r="A1127" t="str">
        <v>1127行</v>
      </c>
      <c r="N1127" t="s">
        <v>1009</v>
      </c>
      <c r="O1127" s="6" t="s">
        <v>1010</v>
      </c>
      <c r="R1127" t="s">
        <v>185</v>
      </c>
    </row>
    <row r="1128" spans="1:28">
      <c r="A1128" t="str">
        <v>1128行</v>
      </c>
      <c r="O1128" s="6" t="s">
        <v>1011</v>
      </c>
      <c r="R1128" t="s">
        <v>185</v>
      </c>
    </row>
    <row r="1129" spans="1:28">
      <c r="A1129" t="str">
        <v>1129行</v>
      </c>
      <c r="O1129" s="6"/>
      <c r="P1129" t="s">
        <v>612</v>
      </c>
      <c r="R1129" t="s">
        <v>185</v>
      </c>
    </row>
    <row r="1130" spans="1:28">
      <c r="A1130" t="str">
        <v>1130行</v>
      </c>
      <c r="O1130" s="6"/>
      <c r="P1130" t="s">
        <v>614</v>
      </c>
      <c r="R1130" t="s">
        <v>185</v>
      </c>
    </row>
    <row r="1131" spans="1:28">
      <c r="A1131" t="str">
        <v>1131行</v>
      </c>
      <c r="O1131" s="6"/>
      <c r="R1131" t="s">
        <v>185</v>
      </c>
    </row>
    <row r="1132" spans="1:28">
      <c r="A1132" t="str">
        <v>1132行</v>
      </c>
      <c r="O1132" s="6"/>
      <c r="R1132" t="s">
        <v>185</v>
      </c>
    </row>
    <row r="1133" spans="1:28">
      <c r="A1133" t="str">
        <v>1133行</v>
      </c>
      <c r="O1133" s="6"/>
      <c r="R1133" t="s">
        <v>185</v>
      </c>
    </row>
    <row r="1134" spans="1:28">
      <c r="A1134" t="str">
        <v>1134行</v>
      </c>
      <c r="O1134" s="6"/>
      <c r="R1134" t="s">
        <v>185</v>
      </c>
    </row>
    <row r="1135" spans="1:28">
      <c r="A1135" t="str">
        <v>1135行</v>
      </c>
      <c r="O1135" s="6"/>
      <c r="R1135" t="s">
        <v>185</v>
      </c>
    </row>
    <row r="1136" spans="1:28">
      <c r="A1136" t="str">
        <v>1136行</v>
      </c>
      <c r="O1136" s="6"/>
      <c r="R1136" t="s">
        <v>185</v>
      </c>
    </row>
    <row r="1137" spans="1:18">
      <c r="A1137" t="str">
        <v>1137行</v>
      </c>
      <c r="O1137" s="6"/>
      <c r="R1137" t="s">
        <v>185</v>
      </c>
    </row>
    <row r="1138" spans="1:18">
      <c r="A1138" t="str">
        <v>1138行</v>
      </c>
      <c r="O1138" s="6"/>
      <c r="R1138" t="s">
        <v>185</v>
      </c>
    </row>
    <row r="1139" spans="1:18">
      <c r="A1139" t="str">
        <v>1139行</v>
      </c>
      <c r="O1139" s="6"/>
      <c r="R1139" t="s">
        <v>185</v>
      </c>
    </row>
    <row r="1140" spans="1:18">
      <c r="A1140" t="str">
        <v>1140行</v>
      </c>
      <c r="O1140" s="6"/>
      <c r="R1140" t="s">
        <v>185</v>
      </c>
    </row>
    <row r="1141" spans="1:18">
      <c r="A1141" t="str">
        <v>1141行</v>
      </c>
      <c r="O1141" s="6"/>
      <c r="R1141" t="s">
        <v>185</v>
      </c>
    </row>
    <row r="1142" spans="1:18">
      <c r="A1142" t="str">
        <v>1142行</v>
      </c>
      <c r="O1142" s="6"/>
      <c r="R1142" t="s">
        <v>185</v>
      </c>
    </row>
    <row r="1143" spans="1:18">
      <c r="A1143" t="str">
        <v>1143行</v>
      </c>
      <c r="O1143" s="6"/>
      <c r="R1143" t="s">
        <v>185</v>
      </c>
    </row>
    <row r="1144" spans="1:18">
      <c r="A1144" t="str">
        <v>1144行</v>
      </c>
      <c r="O1144" s="6"/>
      <c r="R1144" t="s">
        <v>185</v>
      </c>
    </row>
    <row r="1145" spans="1:18">
      <c r="A1145" t="str">
        <v>1145行</v>
      </c>
      <c r="O1145" s="6"/>
      <c r="R1145" t="s">
        <v>185</v>
      </c>
    </row>
    <row r="1146" spans="1:18">
      <c r="A1146" t="str">
        <v>1146行</v>
      </c>
      <c r="O1146" s="6"/>
      <c r="R1146" t="s">
        <v>185</v>
      </c>
    </row>
    <row r="1147" spans="1:18">
      <c r="A1147" t="str">
        <v>1147行</v>
      </c>
    </row>
    <row r="1148" spans="1:18">
      <c r="A1148" t="str">
        <v>1148行</v>
      </c>
    </row>
    <row r="1149" spans="1:18">
      <c r="A1149" t="str">
        <v>1149行</v>
      </c>
    </row>
    <row r="1150" spans="1:18">
      <c r="A1150" t="str">
        <v>1150行</v>
      </c>
      <c r="N1150" t="s">
        <v>1012</v>
      </c>
      <c r="O1150" s="6"/>
    </row>
    <row r="1151" spans="1:18">
      <c r="A1151" t="str">
        <v>1151行</v>
      </c>
      <c r="N1151" t="s">
        <v>1013</v>
      </c>
      <c r="O1151" s="6"/>
    </row>
    <row r="1152" spans="1:18">
      <c r="A1152" t="str">
        <v>1152行</v>
      </c>
    </row>
    <row r="1153" spans="1:1">
      <c r="A1153" t="str">
        <v>1153行</v>
      </c>
    </row>
    <row r="1154" spans="1:1">
      <c r="A1154" t="str">
        <v>1154行</v>
      </c>
    </row>
    <row r="1155" spans="1:1">
      <c r="A1155" t="str">
        <v>1155行</v>
      </c>
    </row>
    <row r="1156" spans="1:1">
      <c r="A1156" t="str">
        <v>1156行</v>
      </c>
    </row>
    <row r="1157" spans="1:1">
      <c r="A1157" t="str">
        <v>1157行</v>
      </c>
    </row>
    <row r="1158" spans="1:1">
      <c r="A1158" t="str">
        <v>1158行</v>
      </c>
    </row>
    <row r="1159" spans="1:1">
      <c r="A1159" t="str">
        <v>1159行</v>
      </c>
    </row>
    <row r="1160" spans="1:1">
      <c r="A1160" t="str">
        <v>1160行</v>
      </c>
    </row>
    <row r="1161" spans="1:1">
      <c r="A1161" t="str">
        <v>1161行</v>
      </c>
    </row>
    <row r="1162" spans="1:1">
      <c r="A1162" t="str">
        <v>1162行</v>
      </c>
    </row>
    <row r="1163" spans="1:1">
      <c r="A1163" t="str">
        <v>1163行</v>
      </c>
    </row>
    <row r="1164" spans="1:1">
      <c r="A1164" t="str">
        <v>1164行</v>
      </c>
    </row>
    <row r="1165" spans="1:1">
      <c r="A1165" t="str">
        <v>1165行</v>
      </c>
    </row>
    <row r="1166" spans="1:1">
      <c r="A1166" t="str">
        <v>1166行</v>
      </c>
    </row>
    <row r="1167" spans="1:1">
      <c r="A1167" t="str">
        <v>1167行</v>
      </c>
    </row>
    <row r="1168" spans="1:1">
      <c r="A1168" t="str">
        <v>1168行</v>
      </c>
    </row>
    <row r="1169" spans="1:1">
      <c r="A1169" t="str">
        <v>1169行</v>
      </c>
    </row>
    <row r="1170" spans="1:1">
      <c r="A1170" t="str">
        <v>1170行</v>
      </c>
    </row>
    <row r="1171" spans="1:1">
      <c r="A1171" t="str">
        <v>1171行</v>
      </c>
    </row>
    <row r="1172" spans="1:1">
      <c r="A1172" t="str">
        <v>1172行</v>
      </c>
    </row>
    <row r="1173" spans="1:1">
      <c r="A1173" t="str">
        <v>1173行</v>
      </c>
    </row>
    <row r="1174" spans="1:1">
      <c r="A1174" t="str">
        <v>1174行</v>
      </c>
    </row>
    <row r="1175" spans="1:1">
      <c r="A1175" t="str">
        <v>1175行</v>
      </c>
    </row>
    <row r="1176" spans="1:1">
      <c r="A1176" t="str">
        <v>1176行</v>
      </c>
    </row>
    <row r="1177" spans="1:1">
      <c r="A1177" t="str">
        <v>1177行</v>
      </c>
    </row>
    <row r="1178" spans="1:1">
      <c r="A1178" t="str">
        <v>1178行</v>
      </c>
    </row>
    <row r="1179" spans="1:1">
      <c r="A1179" t="str">
        <v>1179行</v>
      </c>
    </row>
    <row r="1180" spans="1:1">
      <c r="A1180" t="str">
        <v>1180行</v>
      </c>
    </row>
    <row r="1181" spans="1:1">
      <c r="A1181" t="str">
        <v>1181行</v>
      </c>
    </row>
    <row r="1182" spans="1:1">
      <c r="A1182" t="str">
        <v>1182行</v>
      </c>
    </row>
    <row r="1183" spans="1:1">
      <c r="A1183" t="str">
        <v>1183行</v>
      </c>
    </row>
    <row r="1184" spans="1:1">
      <c r="A1184" t="str">
        <v>1184行</v>
      </c>
    </row>
    <row r="1185" spans="1:1">
      <c r="A1185" t="str">
        <v>1185行</v>
      </c>
    </row>
    <row r="1186" spans="1:1">
      <c r="A1186" t="str">
        <v>1186行</v>
      </c>
    </row>
    <row r="1187" spans="1:1">
      <c r="A1187" t="str">
        <v>1187行</v>
      </c>
    </row>
    <row r="1188" spans="1:1">
      <c r="A1188" t="str">
        <v>1188行</v>
      </c>
    </row>
    <row r="1189" spans="1:1">
      <c r="A1189" t="str">
        <v>1189行</v>
      </c>
    </row>
    <row r="1190" spans="1:1">
      <c r="A1190" t="str">
        <v>1190行</v>
      </c>
    </row>
    <row r="1191" spans="1:1">
      <c r="A1191" t="str">
        <v>1191行</v>
      </c>
    </row>
    <row r="1192" spans="1:1">
      <c r="A1192" t="str">
        <v>1192行</v>
      </c>
    </row>
    <row r="1193" spans="1:1">
      <c r="A1193" t="str">
        <v>1193行</v>
      </c>
    </row>
    <row r="1194" spans="1:1">
      <c r="A1194" t="str">
        <v>1194行</v>
      </c>
    </row>
    <row r="1195" spans="1:1">
      <c r="A1195" t="str">
        <v>1195行</v>
      </c>
    </row>
    <row r="1196" spans="1:1">
      <c r="A1196" t="str">
        <v>1196行</v>
      </c>
    </row>
    <row r="1197" spans="1:1">
      <c r="A1197" t="str">
        <v>1197行</v>
      </c>
    </row>
    <row r="1198" spans="1:1">
      <c r="A1198" t="str">
        <v>1198行</v>
      </c>
    </row>
    <row r="1199" spans="1:1">
      <c r="A1199" t="str">
        <v>1199行</v>
      </c>
    </row>
    <row r="1200" spans="1:1">
      <c r="A1200" t="str">
        <v>1200行</v>
      </c>
    </row>
    <row r="1201" spans="1:1">
      <c r="A1201" t="str">
        <v>1201行</v>
      </c>
    </row>
    <row r="1202" spans="1:1"/>
    <row r="1203" spans="1:1"/>
    <row r="1204" spans="1:1"/>
    <row r="1205" spans="1:1"/>
    <row r="1206" spans="1:1"/>
    <row r="1207" spans="1:1"/>
    <row r="1208" spans="1:1"/>
    <row r="1209" spans="1:1"/>
    <row r="1210" spans="1:1"/>
    <row r="1211" spans="1:1"/>
    <row r="1212" spans="1:1"/>
    <row r="1213" spans="1:1"/>
    <row r="1214" spans="1:1"/>
    <row r="1215" spans="1:1"/>
    <row r="1216" spans="1:1"/>
    <row r="1217"/>
    <row r="1218"/>
    <row r="1219"/>
    <row r="1220"/>
    <row r="1221"/>
    <row r="1222"/>
    <row r="1223"/>
    <row r="1224"/>
    <row r="1225"/>
  </sheetData>
  <phoneticPr fontId="1"/>
  <dataValidations disablePrompts="1" count="4">
    <dataValidation type="list" showInputMessage="1" showErrorMessage="1" sqref="O1124" xr:uid="{DC7B755E-9652-4294-9AFE-B0BD08AFD4B3}">
      <formula1>$X$1124:$AB$1124</formula1>
    </dataValidation>
    <dataValidation type="list" showInputMessage="1" showErrorMessage="1" sqref="O242" xr:uid="{E487F752-CF14-4E2C-8494-52841359A6DF}">
      <formula1>$X$242:$AB$242</formula1>
    </dataValidation>
    <dataValidation type="list" showInputMessage="1" showErrorMessage="1" sqref="O275" xr:uid="{AE11389C-C9A8-4F73-A284-E2A06BA8FED1}">
      <formula1>$L$177:$L$1123</formula1>
    </dataValidation>
    <dataValidation type="list" allowBlank="1" showInputMessage="1" showErrorMessage="1" sqref="O305" xr:uid="{ABBE2817-B1F3-4E2A-83AA-0709A39CAF36}">
      <formula1>$M$177:$M$1123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5C697-252B-4F7C-AA1C-D2B3F27C6085}">
  <sheetPr codeName="Sheet5"/>
  <dimension ref="A1:AB998"/>
  <sheetViews>
    <sheetView workbookViewId="0"/>
  </sheetViews>
  <sheetFormatPr defaultRowHeight="18.75"/>
  <cols>
    <col min="3" max="3" width="38.125" customWidth="1"/>
    <col min="4" max="4" width="65.375" bestFit="1" customWidth="1"/>
    <col min="5" max="5" width="23.25" style="28" bestFit="1" customWidth="1"/>
    <col min="6" max="6" width="23.25" customWidth="1"/>
    <col min="7" max="7" width="21.375" style="30" bestFit="1" customWidth="1"/>
    <col min="8" max="8" width="2.5" customWidth="1"/>
    <col min="9" max="10" width="4.125" customWidth="1"/>
    <col min="17" max="17" width="25.25" bestFit="1" customWidth="1"/>
    <col min="18" max="26" width="11.125" bestFit="1" customWidth="1"/>
    <col min="27" max="27" width="12.25" bestFit="1" customWidth="1"/>
    <col min="28" max="28" width="11.125" bestFit="1" customWidth="1"/>
  </cols>
  <sheetData>
    <row r="1" spans="1:28" s="2" customFormat="1">
      <c r="A1" s="2" t="s">
        <v>165</v>
      </c>
      <c r="B1" s="2" t="s">
        <v>166</v>
      </c>
      <c r="C1" s="3" t="s">
        <v>167</v>
      </c>
      <c r="D1" s="4" t="s">
        <v>168</v>
      </c>
      <c r="E1" s="4" t="s">
        <v>169</v>
      </c>
      <c r="F1" s="4"/>
      <c r="G1" s="29" t="s">
        <v>170</v>
      </c>
      <c r="K1" s="2" t="s">
        <v>596</v>
      </c>
      <c r="L1" s="2" t="s">
        <v>171</v>
      </c>
      <c r="M1" s="2" t="s">
        <v>149</v>
      </c>
      <c r="N1" s="2" t="s">
        <v>150</v>
      </c>
      <c r="O1" s="2" t="s">
        <v>709</v>
      </c>
      <c r="P1" s="2" t="s">
        <v>711</v>
      </c>
      <c r="Q1" s="2" t="s">
        <v>713</v>
      </c>
      <c r="R1" s="2" t="s">
        <v>172</v>
      </c>
      <c r="S1" s="2" t="s">
        <v>173</v>
      </c>
      <c r="T1" s="2" t="s">
        <v>174</v>
      </c>
      <c r="U1" s="2" t="s">
        <v>175</v>
      </c>
      <c r="V1" s="2" t="s">
        <v>176</v>
      </c>
      <c r="W1" s="2" t="s">
        <v>177</v>
      </c>
      <c r="X1" s="2" t="s">
        <v>178</v>
      </c>
      <c r="Y1" s="2" t="s">
        <v>179</v>
      </c>
      <c r="Z1" s="2" t="s">
        <v>180</v>
      </c>
      <c r="AA1" s="2" t="s">
        <v>181</v>
      </c>
      <c r="AB1"/>
    </row>
    <row r="2" spans="1:28">
      <c r="A2">
        <v>1</v>
      </c>
      <c r="B2" cm="1">
        <f t="array" ref="B2:B998">_xlfn.LET(
    _xlpm.TargetRange, C2:C998,
    _xlpm.NonEmptyTarget, _xlfn._xlws.FILTER(_xlpm.TargetRange, _xlpm.TargetRange&lt;&gt;""),
    _xlpm.UniqueValues, _xlfn.UNIQUE(_xlpm.NonEmptyTarget),
    _xlpm.RowNumbers, _xlfn.SEQUENCE(ROWS(_xlpm.UniqueValues)),
    _xlpm.ResultArray, _xlfn.XLOOKUP(_xlpm.TargetRange, _xlpm.UniqueValues, _xlpm.RowNumbers, ""),
    _xlpm.ResultArray
)</f>
        <v>1</v>
      </c>
      <c r="C2" s="5" t="s">
        <v>182</v>
      </c>
      <c r="D2" s="5" t="s">
        <v>183</v>
      </c>
      <c r="E2" s="27">
        <v>1</v>
      </c>
      <c r="F2" s="5"/>
      <c r="G2" s="30">
        <v>1</v>
      </c>
      <c r="Q2" t="s">
        <v>172</v>
      </c>
      <c r="R2" s="6" t="s">
        <v>184</v>
      </c>
      <c r="T2" t="s">
        <v>185</v>
      </c>
    </row>
    <row r="3" spans="1:28">
      <c r="B3">
        <v>2</v>
      </c>
      <c r="C3" s="5" t="s">
        <v>186</v>
      </c>
      <c r="D3" s="5" t="s">
        <v>187</v>
      </c>
      <c r="E3" s="27"/>
      <c r="F3" s="5"/>
      <c r="G3" s="30">
        <v>1</v>
      </c>
      <c r="Q3" t="s">
        <v>173</v>
      </c>
      <c r="R3" s="6" t="s">
        <v>188</v>
      </c>
      <c r="T3" t="s">
        <v>185</v>
      </c>
    </row>
    <row r="4" spans="1:28">
      <c r="B4">
        <v>3</v>
      </c>
      <c r="C4" s="5" t="s">
        <v>189</v>
      </c>
      <c r="D4" s="5" t="s">
        <v>190</v>
      </c>
      <c r="E4" s="27"/>
      <c r="F4" s="5"/>
      <c r="G4" s="30">
        <v>1</v>
      </c>
      <c r="Q4" t="s">
        <v>174</v>
      </c>
      <c r="R4" s="6" t="s">
        <v>191</v>
      </c>
      <c r="T4" t="s">
        <v>185</v>
      </c>
    </row>
    <row r="5" spans="1:28">
      <c r="B5">
        <v>4</v>
      </c>
      <c r="C5" s="5" t="s">
        <v>192</v>
      </c>
      <c r="D5" s="5" t="s">
        <v>193</v>
      </c>
      <c r="E5" s="27"/>
      <c r="F5" s="5"/>
      <c r="G5" s="30">
        <v>1</v>
      </c>
      <c r="Q5" t="s">
        <v>175</v>
      </c>
      <c r="R5" s="6" t="s">
        <v>194</v>
      </c>
      <c r="T5" t="s">
        <v>185</v>
      </c>
    </row>
    <row r="6" spans="1:28">
      <c r="B6">
        <v>5</v>
      </c>
      <c r="C6" s="5" t="s">
        <v>195</v>
      </c>
      <c r="D6" s="5" t="s">
        <v>196</v>
      </c>
      <c r="E6" s="27"/>
      <c r="F6" s="5"/>
      <c r="G6" s="30">
        <v>1</v>
      </c>
      <c r="Q6" t="s">
        <v>176</v>
      </c>
      <c r="R6" s="6" t="s">
        <v>197</v>
      </c>
      <c r="T6" t="s">
        <v>185</v>
      </c>
    </row>
    <row r="7" spans="1:28">
      <c r="B7">
        <v>6</v>
      </c>
      <c r="C7" s="5" t="s">
        <v>198</v>
      </c>
      <c r="D7" s="5" t="s">
        <v>199</v>
      </c>
      <c r="E7" s="27"/>
      <c r="F7" s="5"/>
      <c r="G7" s="30">
        <v>1</v>
      </c>
      <c r="Q7" t="s">
        <v>177</v>
      </c>
      <c r="R7" s="6"/>
      <c r="T7" t="s">
        <v>185</v>
      </c>
    </row>
    <row r="8" spans="1:28">
      <c r="B8">
        <v>7</v>
      </c>
      <c r="C8" s="5" t="s">
        <v>200</v>
      </c>
      <c r="D8" s="5" t="s">
        <v>201</v>
      </c>
      <c r="E8" s="27"/>
      <c r="F8" s="5"/>
      <c r="G8" s="30">
        <v>1</v>
      </c>
      <c r="Q8" t="s">
        <v>178</v>
      </c>
      <c r="R8" s="6"/>
      <c r="T8" t="s">
        <v>185</v>
      </c>
    </row>
    <row r="9" spans="1:28">
      <c r="B9">
        <v>8</v>
      </c>
      <c r="C9" s="5" t="s">
        <v>202</v>
      </c>
      <c r="D9" s="5" t="s">
        <v>203</v>
      </c>
      <c r="E9" s="27"/>
      <c r="F9" s="5"/>
      <c r="G9" s="30">
        <v>1</v>
      </c>
      <c r="Q9" t="s">
        <v>179</v>
      </c>
      <c r="R9" s="6"/>
      <c r="T9" t="s">
        <v>185</v>
      </c>
    </row>
    <row r="10" spans="1:28">
      <c r="B10">
        <v>9</v>
      </c>
      <c r="C10" s="5" t="s">
        <v>204</v>
      </c>
      <c r="D10" s="5" t="s">
        <v>205</v>
      </c>
      <c r="E10" s="27"/>
      <c r="F10" s="5"/>
      <c r="G10" s="30">
        <v>1</v>
      </c>
      <c r="Q10" t="s">
        <v>180</v>
      </c>
      <c r="R10" s="6"/>
      <c r="T10" t="s">
        <v>185</v>
      </c>
    </row>
    <row r="11" spans="1:28">
      <c r="B11">
        <v>10</v>
      </c>
      <c r="C11" s="5" t="s">
        <v>206</v>
      </c>
      <c r="D11" s="5" t="s">
        <v>207</v>
      </c>
      <c r="E11" s="27"/>
      <c r="F11" s="5"/>
      <c r="G11" s="30">
        <v>1</v>
      </c>
      <c r="Q11" t="s">
        <v>181</v>
      </c>
      <c r="R11" s="6"/>
      <c r="T11" t="s">
        <v>185</v>
      </c>
    </row>
    <row r="12" spans="1:28">
      <c r="B12">
        <v>11</v>
      </c>
      <c r="C12" s="5" t="s">
        <v>208</v>
      </c>
      <c r="D12" s="5" t="s">
        <v>209</v>
      </c>
      <c r="E12" s="27"/>
      <c r="F12" s="5"/>
      <c r="G12" s="30">
        <v>1</v>
      </c>
    </row>
    <row r="13" spans="1:28">
      <c r="B13">
        <v>12</v>
      </c>
      <c r="C13" s="5" t="s">
        <v>210</v>
      </c>
      <c r="D13" s="5" t="s">
        <v>211</v>
      </c>
      <c r="E13" s="27"/>
      <c r="F13" s="5"/>
      <c r="G13" s="30">
        <v>1</v>
      </c>
      <c r="Q13" t="s">
        <v>212</v>
      </c>
      <c r="R13" s="6">
        <v>3</v>
      </c>
      <c r="S13" s="7" t="s">
        <v>213</v>
      </c>
      <c r="T13" t="s">
        <v>214</v>
      </c>
      <c r="U13" t="str">
        <f>"無視。"&amp;R13+1&amp;"から処理を繰り返す"</f>
        <v>無視。4から処理を繰り返す</v>
      </c>
    </row>
    <row r="14" spans="1:28">
      <c r="B14" t="str">
        <v/>
      </c>
      <c r="C14" s="5"/>
      <c r="D14" s="5"/>
      <c r="E14" s="27"/>
      <c r="F14" s="5"/>
      <c r="G14" s="30">
        <v>1</v>
      </c>
      <c r="Q14" t="s">
        <v>215</v>
      </c>
      <c r="R14" s="6">
        <v>1</v>
      </c>
      <c r="S14" t="s">
        <v>216</v>
      </c>
      <c r="T14" t="s">
        <v>217</v>
      </c>
      <c r="U14" t="s">
        <v>218</v>
      </c>
    </row>
    <row r="15" spans="1:28">
      <c r="B15" t="str">
        <v/>
      </c>
      <c r="C15" s="5"/>
      <c r="D15" s="5"/>
      <c r="E15" s="27"/>
      <c r="F15" s="5"/>
      <c r="G15" s="30">
        <v>1</v>
      </c>
      <c r="Q15" t="s">
        <v>219</v>
      </c>
      <c r="R15" s="6">
        <v>8</v>
      </c>
      <c r="T15" t="s">
        <v>214</v>
      </c>
      <c r="U15" s="7" t="str">
        <f>R15&amp;"行が1日。基準セルよりOffsetで使用。4:11, 12:19, 20:27, 28:35, 36:43, 44:51, 52:59"</f>
        <v>8行が1日。基準セルよりOffsetで使用。4:11, 12:19, 20:27, 28:35, 36:43, 44:51, 52:59</v>
      </c>
    </row>
    <row r="16" spans="1:28">
      <c r="B16">
        <v>13</v>
      </c>
      <c r="C16" s="5" t="s">
        <v>220</v>
      </c>
      <c r="D16" s="5" t="s">
        <v>221</v>
      </c>
      <c r="E16" s="27"/>
      <c r="F16" s="5"/>
      <c r="G16" s="30">
        <v>1</v>
      </c>
      <c r="Q16" t="s">
        <v>222</v>
      </c>
      <c r="R16" s="6">
        <v>7</v>
      </c>
      <c r="T16" t="s">
        <v>223</v>
      </c>
      <c r="U16" t="str">
        <f>"縦に"&amp;R16&amp;"回繰り返す"</f>
        <v>縦に7回繰り返す</v>
      </c>
    </row>
    <row r="17" spans="2:21">
      <c r="B17">
        <v>14</v>
      </c>
      <c r="C17" s="5" t="s">
        <v>224</v>
      </c>
      <c r="D17" s="5" t="s">
        <v>225</v>
      </c>
      <c r="E17" s="27"/>
      <c r="F17" s="5"/>
      <c r="G17" s="30">
        <v>1</v>
      </c>
    </row>
    <row r="18" spans="2:21">
      <c r="B18">
        <v>15</v>
      </c>
      <c r="C18" s="5" t="s">
        <v>226</v>
      </c>
      <c r="D18" s="5" t="s">
        <v>227</v>
      </c>
      <c r="E18" s="27"/>
      <c r="F18" s="5"/>
      <c r="G18" s="30">
        <v>1</v>
      </c>
      <c r="Q18" t="s">
        <v>228</v>
      </c>
      <c r="R18" s="6" t="s">
        <v>229</v>
      </c>
      <c r="T18" t="s">
        <v>230</v>
      </c>
      <c r="U18" s="7"/>
    </row>
    <row r="19" spans="2:21">
      <c r="B19">
        <v>16</v>
      </c>
      <c r="C19" s="5" t="s">
        <v>231</v>
      </c>
      <c r="D19" s="5" t="s">
        <v>232</v>
      </c>
      <c r="E19" s="27"/>
      <c r="F19" s="5"/>
      <c r="G19" s="30">
        <v>1</v>
      </c>
      <c r="Q19" t="s">
        <v>233</v>
      </c>
      <c r="R19" s="6" t="s">
        <v>234</v>
      </c>
      <c r="T19" t="s">
        <v>230</v>
      </c>
      <c r="U19" s="7"/>
    </row>
    <row r="20" spans="2:21">
      <c r="B20">
        <v>17</v>
      </c>
      <c r="C20" s="5" t="s">
        <v>235</v>
      </c>
      <c r="D20" s="5" t="s">
        <v>236</v>
      </c>
      <c r="E20" s="27"/>
      <c r="F20" s="5"/>
      <c r="G20" s="30">
        <v>1</v>
      </c>
      <c r="Q20" t="s">
        <v>237</v>
      </c>
      <c r="R20" s="6" t="s">
        <v>216</v>
      </c>
      <c r="S20" t="s">
        <v>216</v>
      </c>
      <c r="T20" t="s">
        <v>217</v>
      </c>
    </row>
    <row r="21" spans="2:21">
      <c r="B21">
        <v>18</v>
      </c>
      <c r="C21" s="5" t="s">
        <v>238</v>
      </c>
      <c r="D21" s="5" t="s">
        <v>239</v>
      </c>
      <c r="E21" s="27"/>
      <c r="F21" s="5"/>
      <c r="G21" s="30">
        <v>1</v>
      </c>
      <c r="Q21" t="s">
        <v>237</v>
      </c>
      <c r="R21" s="6">
        <v>3</v>
      </c>
      <c r="T21" t="s">
        <v>240</v>
      </c>
      <c r="U21" s="7" t="s">
        <v>241</v>
      </c>
    </row>
    <row r="22" spans="2:21">
      <c r="B22">
        <v>19</v>
      </c>
      <c r="C22" s="5" t="s">
        <v>242</v>
      </c>
      <c r="D22" s="5" t="s">
        <v>243</v>
      </c>
      <c r="E22" s="27"/>
      <c r="F22" s="5"/>
      <c r="G22" s="30">
        <v>1</v>
      </c>
    </row>
    <row r="23" spans="2:21">
      <c r="B23">
        <v>20</v>
      </c>
      <c r="C23" s="5" t="s">
        <v>244</v>
      </c>
      <c r="D23" s="5" t="s">
        <v>245</v>
      </c>
      <c r="E23" s="27"/>
      <c r="F23" s="5"/>
      <c r="G23" s="30">
        <v>1</v>
      </c>
      <c r="Q23" t="s">
        <v>246</v>
      </c>
      <c r="R23" s="6">
        <v>39</v>
      </c>
      <c r="S23" t="s">
        <v>247</v>
      </c>
      <c r="T23" t="s">
        <v>248</v>
      </c>
      <c r="U23" t="str">
        <f>"横に"&amp;R23&amp;"回繰り返す"</f>
        <v>横に39回繰り返す</v>
      </c>
    </row>
    <row r="24" spans="2:21">
      <c r="B24">
        <v>21</v>
      </c>
      <c r="C24" s="5" t="s">
        <v>249</v>
      </c>
      <c r="D24" s="5" t="s">
        <v>250</v>
      </c>
      <c r="E24" s="27"/>
      <c r="F24" s="5"/>
      <c r="G24" s="30">
        <v>1</v>
      </c>
    </row>
    <row r="25" spans="2:21">
      <c r="B25">
        <v>22</v>
      </c>
      <c r="C25" s="5" t="s">
        <v>251</v>
      </c>
      <c r="D25" s="5" t="s">
        <v>252</v>
      </c>
      <c r="E25" s="27"/>
      <c r="F25" s="5"/>
      <c r="G25" s="30">
        <v>1</v>
      </c>
      <c r="Q25" t="s">
        <v>1014</v>
      </c>
      <c r="R25" t="s">
        <v>891</v>
      </c>
      <c r="S25" t="s">
        <v>892</v>
      </c>
    </row>
    <row r="26" spans="2:21">
      <c r="B26">
        <v>23</v>
      </c>
      <c r="C26" s="5" t="s">
        <v>257</v>
      </c>
      <c r="D26" s="5" t="s">
        <v>258</v>
      </c>
      <c r="E26" s="27"/>
      <c r="F26" s="5"/>
      <c r="G26" s="30">
        <v>1</v>
      </c>
      <c r="O26" t="s">
        <v>893</v>
      </c>
      <c r="P26" t="s">
        <v>1132</v>
      </c>
      <c r="Q26" t="s">
        <v>151</v>
      </c>
      <c r="R26" s="6" t="s">
        <v>894</v>
      </c>
      <c r="S26" s="11" t="s">
        <v>895</v>
      </c>
    </row>
    <row r="27" spans="2:21">
      <c r="B27">
        <v>24</v>
      </c>
      <c r="C27" s="5" t="s">
        <v>260</v>
      </c>
      <c r="D27" s="5" t="s">
        <v>261</v>
      </c>
      <c r="E27" s="27"/>
      <c r="F27" s="5"/>
      <c r="G27" s="30">
        <v>1</v>
      </c>
      <c r="P27" t="s">
        <v>1133</v>
      </c>
      <c r="Q27" t="s">
        <v>152</v>
      </c>
      <c r="R27" s="6" t="s">
        <v>895</v>
      </c>
      <c r="S27" s="11" t="s">
        <v>894</v>
      </c>
    </row>
    <row r="28" spans="2:21">
      <c r="B28" t="str">
        <v/>
      </c>
      <c r="C28" s="5"/>
      <c r="D28" s="5"/>
      <c r="E28" s="27"/>
      <c r="F28" s="5"/>
      <c r="G28" s="30">
        <v>1</v>
      </c>
      <c r="P28" t="s">
        <v>1134</v>
      </c>
      <c r="Q28" s="17" t="s">
        <v>898</v>
      </c>
      <c r="R28" s="6" t="s">
        <v>899</v>
      </c>
      <c r="S28" s="17" t="s">
        <v>899</v>
      </c>
    </row>
    <row r="29" spans="2:21">
      <c r="B29" t="str">
        <v/>
      </c>
      <c r="C29" s="5"/>
      <c r="D29" s="5"/>
      <c r="E29" s="27"/>
      <c r="F29" s="5"/>
      <c r="G29" s="30">
        <v>1</v>
      </c>
      <c r="P29" t="s">
        <v>1135</v>
      </c>
      <c r="Q29" s="16" t="s">
        <v>900</v>
      </c>
      <c r="R29" s="6" t="s">
        <v>901</v>
      </c>
      <c r="S29" s="16" t="s">
        <v>901</v>
      </c>
    </row>
    <row r="30" spans="2:21">
      <c r="B30">
        <v>25</v>
      </c>
      <c r="C30" s="5" t="s">
        <v>267</v>
      </c>
      <c r="D30" s="5" t="s">
        <v>268</v>
      </c>
      <c r="E30" s="27"/>
      <c r="F30" s="5"/>
      <c r="G30" s="30">
        <v>1</v>
      </c>
      <c r="P30" t="s">
        <v>1136</v>
      </c>
      <c r="T30" t="s">
        <v>902</v>
      </c>
      <c r="U30" t="s">
        <v>903</v>
      </c>
    </row>
    <row r="31" spans="2:21">
      <c r="B31">
        <v>26</v>
      </c>
      <c r="C31" s="5" t="s">
        <v>270</v>
      </c>
      <c r="D31" s="5" t="s">
        <v>271</v>
      </c>
      <c r="E31" s="27"/>
      <c r="F31" s="5"/>
      <c r="G31" s="30">
        <v>1</v>
      </c>
      <c r="P31" t="s">
        <v>1137</v>
      </c>
      <c r="Q31" t="s">
        <v>763</v>
      </c>
      <c r="R31" s="6" t="s">
        <v>905</v>
      </c>
      <c r="S31" s="19" t="s">
        <v>906</v>
      </c>
    </row>
    <row r="32" spans="2:21">
      <c r="B32">
        <v>27</v>
      </c>
      <c r="C32" s="5" t="s">
        <v>274</v>
      </c>
      <c r="D32" s="5" t="s">
        <v>275</v>
      </c>
      <c r="E32" s="27"/>
      <c r="F32" s="5"/>
      <c r="G32" s="30">
        <v>1</v>
      </c>
      <c r="P32" t="s">
        <v>1138</v>
      </c>
      <c r="Q32" s="15" t="s">
        <v>714</v>
      </c>
      <c r="R32" s="6" t="s">
        <v>907</v>
      </c>
      <c r="S32" s="15" t="s">
        <v>907</v>
      </c>
    </row>
    <row r="33" spans="2:28">
      <c r="B33">
        <v>28</v>
      </c>
      <c r="C33" s="5" t="s">
        <v>277</v>
      </c>
      <c r="D33" s="5" t="s">
        <v>278</v>
      </c>
      <c r="E33" s="27"/>
      <c r="F33" s="5"/>
      <c r="G33" s="30">
        <v>1</v>
      </c>
      <c r="P33" t="s">
        <v>1139</v>
      </c>
      <c r="Q33" t="s">
        <v>764</v>
      </c>
      <c r="R33" s="6" t="s">
        <v>906</v>
      </c>
      <c r="S33" s="20" t="s">
        <v>909</v>
      </c>
    </row>
    <row r="34" spans="2:28">
      <c r="B34">
        <v>29</v>
      </c>
      <c r="C34" s="5" t="s">
        <v>282</v>
      </c>
      <c r="D34" s="5" t="s">
        <v>283</v>
      </c>
      <c r="E34" s="27"/>
      <c r="F34" s="5"/>
      <c r="G34" s="30">
        <v>1</v>
      </c>
      <c r="P34" t="s">
        <v>1140</v>
      </c>
      <c r="Q34" t="s">
        <v>113</v>
      </c>
      <c r="R34" s="6" t="s">
        <v>910</v>
      </c>
      <c r="S34" t="s">
        <v>910</v>
      </c>
    </row>
    <row r="35" spans="2:28">
      <c r="B35">
        <v>30</v>
      </c>
      <c r="C35" s="5" t="s">
        <v>285</v>
      </c>
      <c r="D35" s="5" t="s">
        <v>286</v>
      </c>
      <c r="E35" s="27"/>
      <c r="F35" s="5"/>
      <c r="G35" s="30">
        <v>1</v>
      </c>
      <c r="P35" t="s">
        <v>1141</v>
      </c>
    </row>
    <row r="36" spans="2:28">
      <c r="B36">
        <v>31</v>
      </c>
      <c r="C36" s="5" t="s">
        <v>288</v>
      </c>
      <c r="D36" s="5" t="s">
        <v>289</v>
      </c>
      <c r="E36" s="27"/>
      <c r="F36" s="5"/>
      <c r="G36" s="30">
        <v>1</v>
      </c>
      <c r="P36" t="s">
        <v>1142</v>
      </c>
      <c r="S36" s="16" t="s">
        <v>903</v>
      </c>
      <c r="T36" s="16" t="s">
        <v>912</v>
      </c>
    </row>
    <row r="37" spans="2:28">
      <c r="B37">
        <v>32</v>
      </c>
      <c r="C37" s="5" t="s">
        <v>291</v>
      </c>
      <c r="D37" s="5" t="s">
        <v>292</v>
      </c>
      <c r="E37" s="27"/>
      <c r="F37" s="5"/>
      <c r="G37" s="30">
        <v>1</v>
      </c>
      <c r="P37" t="s">
        <v>1143</v>
      </c>
      <c r="S37" s="19" t="s">
        <v>905</v>
      </c>
      <c r="T37" t="s">
        <v>913</v>
      </c>
    </row>
    <row r="38" spans="2:28">
      <c r="B38">
        <v>33</v>
      </c>
      <c r="C38" s="5" t="s">
        <v>295</v>
      </c>
      <c r="D38" s="5" t="s">
        <v>296</v>
      </c>
      <c r="E38" s="27"/>
      <c r="F38" s="5"/>
      <c r="G38" s="30">
        <v>1</v>
      </c>
      <c r="P38" t="s">
        <v>1144</v>
      </c>
      <c r="S38" t="s">
        <v>914</v>
      </c>
      <c r="T38" t="s">
        <v>709</v>
      </c>
    </row>
    <row r="39" spans="2:28">
      <c r="B39">
        <v>34</v>
      </c>
      <c r="C39" s="5" t="s">
        <v>298</v>
      </c>
      <c r="D39" s="5" t="s">
        <v>299</v>
      </c>
      <c r="E39" s="27"/>
      <c r="F39" s="5"/>
      <c r="G39" s="30">
        <v>1</v>
      </c>
      <c r="P39" t="s">
        <v>1145</v>
      </c>
    </row>
    <row r="40" spans="2:28">
      <c r="B40">
        <v>35</v>
      </c>
      <c r="C40" s="5" t="s">
        <v>301</v>
      </c>
      <c r="D40" s="5" t="s">
        <v>302</v>
      </c>
      <c r="E40" s="27"/>
      <c r="F40" s="5"/>
      <c r="G40" s="30">
        <v>1</v>
      </c>
      <c r="P40" t="s">
        <v>1146</v>
      </c>
    </row>
    <row r="41" spans="2:28">
      <c r="B41">
        <v>36</v>
      </c>
      <c r="C41" s="5" t="s">
        <v>304</v>
      </c>
      <c r="D41" s="5" t="s">
        <v>305</v>
      </c>
      <c r="E41" s="27"/>
      <c r="F41" s="5"/>
      <c r="G41" s="30">
        <v>1</v>
      </c>
    </row>
    <row r="42" spans="2:28">
      <c r="B42" t="str">
        <v/>
      </c>
      <c r="C42" s="5"/>
      <c r="D42" s="5"/>
      <c r="E42" s="27"/>
      <c r="F42" s="5"/>
      <c r="G42" s="30">
        <v>1</v>
      </c>
      <c r="K42" s="2" t="s">
        <v>596</v>
      </c>
      <c r="L42" s="2" t="s">
        <v>171</v>
      </c>
      <c r="M42" s="2" t="s">
        <v>149</v>
      </c>
      <c r="N42" s="2" t="s">
        <v>150</v>
      </c>
      <c r="O42" s="2" t="s">
        <v>709</v>
      </c>
      <c r="P42" s="2" t="s">
        <v>711</v>
      </c>
      <c r="Q42" s="2" t="s">
        <v>713</v>
      </c>
      <c r="R42" s="2" t="s">
        <v>172</v>
      </c>
      <c r="S42" s="2" t="s">
        <v>173</v>
      </c>
      <c r="T42" s="2" t="s">
        <v>174</v>
      </c>
      <c r="U42" s="2" t="s">
        <v>175</v>
      </c>
      <c r="V42" s="2" t="s">
        <v>176</v>
      </c>
      <c r="W42" s="2" t="s">
        <v>177</v>
      </c>
      <c r="X42" s="2" t="s">
        <v>178</v>
      </c>
      <c r="Y42" s="2" t="s">
        <v>179</v>
      </c>
      <c r="Z42" s="2" t="s">
        <v>180</v>
      </c>
      <c r="AA42" s="2" t="s">
        <v>181</v>
      </c>
    </row>
    <row r="43" spans="2:28">
      <c r="B43" t="str">
        <v/>
      </c>
      <c r="C43" s="5"/>
      <c r="D43" s="5"/>
      <c r="E43" s="27"/>
      <c r="F43" s="5"/>
      <c r="G43" s="30">
        <v>1</v>
      </c>
      <c r="K43" t="s">
        <v>255</v>
      </c>
      <c r="L43">
        <v>1</v>
      </c>
      <c r="M43" s="6" t="s">
        <v>253</v>
      </c>
      <c r="N43" s="6" t="s">
        <v>254</v>
      </c>
      <c r="O43" s="6"/>
      <c r="P43" s="6"/>
      <c r="Q43" s="6"/>
      <c r="R43" s="6">
        <v>4</v>
      </c>
      <c r="S43" s="6">
        <v>4</v>
      </c>
      <c r="T43" s="6">
        <v>4</v>
      </c>
      <c r="U43" s="6">
        <v>4</v>
      </c>
      <c r="V43" s="6">
        <v>4</v>
      </c>
      <c r="W43" s="6"/>
      <c r="X43" s="6"/>
      <c r="Y43" s="6"/>
      <c r="Z43" s="6"/>
      <c r="AA43" s="6"/>
      <c r="AB43" t="s">
        <v>256</v>
      </c>
    </row>
    <row r="44" spans="2:28">
      <c r="B44">
        <v>37</v>
      </c>
      <c r="C44" s="5" t="s">
        <v>310</v>
      </c>
      <c r="D44" s="5" t="s">
        <v>311</v>
      </c>
      <c r="E44" s="27"/>
      <c r="F44" s="5"/>
      <c r="G44" s="30">
        <v>1</v>
      </c>
      <c r="K44" t="s">
        <v>259</v>
      </c>
      <c r="L44">
        <v>2</v>
      </c>
      <c r="M44" s="6" t="s">
        <v>253</v>
      </c>
      <c r="N44" s="6" t="s">
        <v>254</v>
      </c>
      <c r="O44" s="6"/>
      <c r="P44" s="6"/>
      <c r="Q44" s="6"/>
      <c r="R44" s="6">
        <v>4</v>
      </c>
      <c r="S44" s="6">
        <v>4</v>
      </c>
      <c r="T44" s="6">
        <v>4</v>
      </c>
      <c r="U44" s="6">
        <v>4</v>
      </c>
      <c r="V44" s="6">
        <v>4</v>
      </c>
      <c r="W44" s="6"/>
      <c r="X44" s="6"/>
      <c r="Y44" s="6"/>
      <c r="Z44" s="6"/>
      <c r="AA44" s="6"/>
      <c r="AB44" t="str">
        <f>CHAR(CODE(RIGHT(AB43,1))+1)&amp;":"&amp;CHAR(CODE(RIGHT(AB43,1))+V44)</f>
        <v>F:I</v>
      </c>
    </row>
    <row r="45" spans="2:28">
      <c r="B45">
        <v>38</v>
      </c>
      <c r="C45" s="5" t="s">
        <v>313</v>
      </c>
      <c r="D45" s="5" t="s">
        <v>314</v>
      </c>
      <c r="E45" s="27"/>
      <c r="F45" s="5"/>
      <c r="G45" s="30">
        <v>1</v>
      </c>
      <c r="K45" t="s">
        <v>262</v>
      </c>
      <c r="L45">
        <v>3</v>
      </c>
      <c r="M45" s="6" t="s">
        <v>253</v>
      </c>
      <c r="N45" s="6" t="s">
        <v>254</v>
      </c>
      <c r="O45" s="6"/>
      <c r="P45" s="6"/>
      <c r="Q45" s="6"/>
      <c r="R45" s="6">
        <v>4</v>
      </c>
      <c r="S45" s="6">
        <v>4</v>
      </c>
      <c r="T45" s="6">
        <v>4</v>
      </c>
      <c r="U45" s="6">
        <v>4</v>
      </c>
      <c r="V45" s="6">
        <v>4</v>
      </c>
      <c r="W45" s="6"/>
      <c r="X45" s="6"/>
      <c r="Y45" s="6"/>
      <c r="Z45" s="6"/>
      <c r="AA45" s="6"/>
      <c r="AB45" t="str">
        <f>CHAR(CODE(RIGHT(AB44,1))+1)&amp;":"&amp;CHAR(CODE(RIGHT(AB44,1))+V45)</f>
        <v>J:M</v>
      </c>
    </row>
    <row r="46" spans="2:28">
      <c r="B46">
        <v>39</v>
      </c>
      <c r="C46" s="5" t="s">
        <v>317</v>
      </c>
      <c r="D46" s="5" t="s">
        <v>318</v>
      </c>
      <c r="E46" s="27"/>
      <c r="F46" s="5"/>
      <c r="G46" s="30">
        <v>1</v>
      </c>
      <c r="K46" t="s">
        <v>263</v>
      </c>
      <c r="L46">
        <v>4</v>
      </c>
      <c r="M46" s="6" t="s">
        <v>253</v>
      </c>
      <c r="N46" s="6" t="s">
        <v>254</v>
      </c>
      <c r="O46" s="6"/>
      <c r="P46" s="6"/>
      <c r="Q46" s="6"/>
      <c r="R46" s="6">
        <v>5</v>
      </c>
      <c r="S46" s="6">
        <v>5</v>
      </c>
      <c r="T46" s="6">
        <v>5</v>
      </c>
      <c r="U46" s="6">
        <v>5</v>
      </c>
      <c r="V46" s="6">
        <v>5</v>
      </c>
      <c r="W46" s="6"/>
      <c r="X46" s="6"/>
      <c r="Y46" s="6"/>
      <c r="Z46" s="6"/>
      <c r="AA46" s="6"/>
      <c r="AB46" t="str">
        <f>CHAR(CODE(RIGHT(AB45,1))+1)&amp;":"&amp;CHAR(CODE(RIGHT(AB45,1))+V46)</f>
        <v>N:R</v>
      </c>
    </row>
    <row r="47" spans="2:28">
      <c r="B47">
        <v>40</v>
      </c>
      <c r="C47" s="5" t="s">
        <v>320</v>
      </c>
      <c r="D47" s="5" t="s">
        <v>321</v>
      </c>
      <c r="E47" s="27"/>
      <c r="F47" s="5"/>
      <c r="G47" s="30">
        <v>1</v>
      </c>
      <c r="K47" t="s">
        <v>265</v>
      </c>
      <c r="L47">
        <v>5</v>
      </c>
      <c r="M47" s="6" t="s">
        <v>253</v>
      </c>
      <c r="N47" s="6" t="s">
        <v>264</v>
      </c>
      <c r="O47" s="6"/>
      <c r="P47" s="6"/>
      <c r="Q47" s="6"/>
      <c r="R47" s="6">
        <v>4</v>
      </c>
      <c r="S47" s="6">
        <v>4</v>
      </c>
      <c r="T47" s="6">
        <v>4</v>
      </c>
      <c r="U47" s="6">
        <v>4</v>
      </c>
      <c r="V47" s="6">
        <v>4</v>
      </c>
      <c r="W47" s="6"/>
      <c r="X47" s="6"/>
      <c r="Y47" s="6"/>
      <c r="Z47" s="6"/>
      <c r="AA47" s="6"/>
      <c r="AB47" t="s">
        <v>266</v>
      </c>
    </row>
    <row r="48" spans="2:28">
      <c r="B48">
        <v>41</v>
      </c>
      <c r="C48" s="5" t="s">
        <v>323</v>
      </c>
      <c r="D48" s="5" t="s">
        <v>324</v>
      </c>
      <c r="E48" s="27"/>
      <c r="F48" s="5"/>
      <c r="G48" s="30">
        <v>1</v>
      </c>
      <c r="K48" t="s">
        <v>259</v>
      </c>
      <c r="L48">
        <v>6</v>
      </c>
      <c r="M48" s="6" t="s">
        <v>253</v>
      </c>
      <c r="N48" s="6" t="s">
        <v>264</v>
      </c>
      <c r="O48" s="6"/>
      <c r="P48" s="6"/>
      <c r="Q48" s="6"/>
      <c r="R48" s="6">
        <v>4</v>
      </c>
      <c r="S48" s="6">
        <v>4</v>
      </c>
      <c r="T48" s="6">
        <v>4</v>
      </c>
      <c r="U48" s="6">
        <v>4</v>
      </c>
      <c r="V48" s="6">
        <v>4</v>
      </c>
      <c r="W48" s="6"/>
      <c r="X48" s="6"/>
      <c r="Y48" s="6"/>
      <c r="Z48" s="6"/>
      <c r="AA48" s="6"/>
      <c r="AB48" t="s">
        <v>269</v>
      </c>
    </row>
    <row r="49" spans="2:28">
      <c r="B49">
        <v>42</v>
      </c>
      <c r="C49" s="5" t="s">
        <v>326</v>
      </c>
      <c r="D49" s="5" t="s">
        <v>327</v>
      </c>
      <c r="E49" s="27"/>
      <c r="F49" s="5"/>
      <c r="G49" s="30">
        <v>1</v>
      </c>
      <c r="K49" t="s">
        <v>272</v>
      </c>
      <c r="L49">
        <v>7</v>
      </c>
      <c r="M49" s="6" t="s">
        <v>253</v>
      </c>
      <c r="N49" s="6" t="s">
        <v>264</v>
      </c>
      <c r="O49" s="6"/>
      <c r="P49" s="6"/>
      <c r="Q49" s="6"/>
      <c r="R49" s="6">
        <v>4</v>
      </c>
      <c r="S49" s="6">
        <v>4</v>
      </c>
      <c r="T49" s="6">
        <v>4</v>
      </c>
      <c r="U49" s="6">
        <v>4</v>
      </c>
      <c r="V49" s="6">
        <v>4</v>
      </c>
      <c r="W49" s="6"/>
      <c r="X49" s="6"/>
      <c r="Y49" s="6"/>
      <c r="Z49" s="6"/>
      <c r="AA49" s="6"/>
      <c r="AB49" t="s">
        <v>273</v>
      </c>
    </row>
    <row r="50" spans="2:28">
      <c r="B50">
        <v>43</v>
      </c>
      <c r="C50" s="5" t="s">
        <v>331</v>
      </c>
      <c r="D50" s="5" t="s">
        <v>332</v>
      </c>
      <c r="E50" s="27"/>
      <c r="F50" s="5"/>
      <c r="G50" s="30">
        <v>1</v>
      </c>
      <c r="K50" t="s">
        <v>263</v>
      </c>
      <c r="L50">
        <v>8</v>
      </c>
      <c r="M50" s="6" t="s">
        <v>253</v>
      </c>
      <c r="N50" s="6" t="s">
        <v>264</v>
      </c>
      <c r="O50" s="6"/>
      <c r="P50" s="6"/>
      <c r="Q50" s="6"/>
      <c r="R50" s="6">
        <v>5</v>
      </c>
      <c r="S50" s="6">
        <v>5</v>
      </c>
      <c r="T50" s="6">
        <v>5</v>
      </c>
      <c r="U50" s="6">
        <v>5</v>
      </c>
      <c r="V50" s="6">
        <v>5</v>
      </c>
      <c r="W50" s="6"/>
      <c r="X50" s="6"/>
      <c r="Y50" s="6"/>
      <c r="Z50" s="6"/>
      <c r="AA50" s="6"/>
      <c r="AB50" t="s">
        <v>276</v>
      </c>
    </row>
    <row r="51" spans="2:28">
      <c r="B51">
        <v>44</v>
      </c>
      <c r="C51" s="5" t="s">
        <v>334</v>
      </c>
      <c r="D51" s="5" t="s">
        <v>335</v>
      </c>
      <c r="E51" s="27"/>
      <c r="F51" s="5"/>
      <c r="G51" s="30">
        <v>1</v>
      </c>
      <c r="K51" t="s">
        <v>265</v>
      </c>
      <c r="L51">
        <v>9</v>
      </c>
      <c r="M51" s="6" t="s">
        <v>279</v>
      </c>
      <c r="N51" s="6" t="s">
        <v>280</v>
      </c>
      <c r="O51" s="6"/>
      <c r="P51" s="6"/>
      <c r="Q51" s="6"/>
      <c r="R51" s="6">
        <v>4</v>
      </c>
      <c r="S51" s="6">
        <v>4</v>
      </c>
      <c r="T51" s="6">
        <v>4</v>
      </c>
      <c r="U51" s="6">
        <v>4</v>
      </c>
      <c r="V51" s="6">
        <v>4</v>
      </c>
      <c r="W51" s="6"/>
      <c r="X51" s="6"/>
      <c r="Y51" s="6"/>
      <c r="Z51" s="6"/>
      <c r="AA51" s="6"/>
      <c r="AB51" t="s">
        <v>281</v>
      </c>
    </row>
    <row r="52" spans="2:28">
      <c r="B52">
        <v>45</v>
      </c>
      <c r="C52" s="5" t="s">
        <v>337</v>
      </c>
      <c r="D52" s="5" t="s">
        <v>338</v>
      </c>
      <c r="E52" s="27"/>
      <c r="F52" s="5"/>
      <c r="G52" s="30">
        <v>1</v>
      </c>
      <c r="K52" t="s">
        <v>259</v>
      </c>
      <c r="L52">
        <v>10</v>
      </c>
      <c r="M52" s="6" t="s">
        <v>279</v>
      </c>
      <c r="N52" s="6" t="s">
        <v>280</v>
      </c>
      <c r="O52" s="6"/>
      <c r="P52" s="6"/>
      <c r="Q52" s="6"/>
      <c r="R52" s="6">
        <v>4</v>
      </c>
      <c r="S52" s="6">
        <v>4</v>
      </c>
      <c r="T52" s="6">
        <v>4</v>
      </c>
      <c r="U52" s="6">
        <v>4</v>
      </c>
      <c r="V52" s="6">
        <v>4</v>
      </c>
      <c r="W52" s="6"/>
      <c r="X52" s="6"/>
      <c r="Y52" s="6"/>
      <c r="Z52" s="6"/>
      <c r="AA52" s="6"/>
      <c r="AB52" t="s">
        <v>284</v>
      </c>
    </row>
    <row r="53" spans="2:28">
      <c r="B53">
        <v>46</v>
      </c>
      <c r="C53" s="5" t="s">
        <v>341</v>
      </c>
      <c r="D53" s="5" t="s">
        <v>342</v>
      </c>
      <c r="E53" s="27"/>
      <c r="F53" s="5"/>
      <c r="G53" s="30">
        <v>1</v>
      </c>
      <c r="K53" t="s">
        <v>272</v>
      </c>
      <c r="L53">
        <v>11</v>
      </c>
      <c r="M53" s="6" t="s">
        <v>279</v>
      </c>
      <c r="N53" s="6" t="s">
        <v>280</v>
      </c>
      <c r="O53" s="6"/>
      <c r="P53" s="6"/>
      <c r="Q53" s="6"/>
      <c r="R53" s="6">
        <v>4</v>
      </c>
      <c r="S53" s="6">
        <v>4</v>
      </c>
      <c r="T53" s="6">
        <v>4</v>
      </c>
      <c r="U53" s="6">
        <v>4</v>
      </c>
      <c r="V53" s="6">
        <v>4</v>
      </c>
      <c r="W53" s="6"/>
      <c r="X53" s="6"/>
      <c r="Y53" s="6"/>
      <c r="Z53" s="6"/>
      <c r="AA53" s="6"/>
      <c r="AB53" t="s">
        <v>287</v>
      </c>
    </row>
    <row r="54" spans="2:28">
      <c r="B54">
        <v>47</v>
      </c>
      <c r="C54" s="5" t="s">
        <v>344</v>
      </c>
      <c r="D54" s="5" t="s">
        <v>345</v>
      </c>
      <c r="E54" s="27"/>
      <c r="F54" s="5"/>
      <c r="G54" s="30">
        <v>1</v>
      </c>
      <c r="K54" t="s">
        <v>263</v>
      </c>
      <c r="L54">
        <v>12</v>
      </c>
      <c r="M54" s="6" t="s">
        <v>279</v>
      </c>
      <c r="N54" s="6" t="s">
        <v>280</v>
      </c>
      <c r="O54" s="6"/>
      <c r="P54" s="6"/>
      <c r="Q54" s="6"/>
      <c r="R54" s="6">
        <v>5</v>
      </c>
      <c r="S54" s="6">
        <v>5</v>
      </c>
      <c r="T54" s="6">
        <v>5</v>
      </c>
      <c r="U54" s="6">
        <v>5</v>
      </c>
      <c r="V54" s="6">
        <v>5</v>
      </c>
      <c r="W54" s="6"/>
      <c r="X54" s="6"/>
      <c r="Y54" s="6"/>
      <c r="Z54" s="6"/>
      <c r="AA54" s="6"/>
      <c r="AB54" t="s">
        <v>290</v>
      </c>
    </row>
    <row r="55" spans="2:28">
      <c r="B55">
        <v>48</v>
      </c>
      <c r="C55" s="5" t="s">
        <v>348</v>
      </c>
      <c r="D55" s="5" t="s">
        <v>349</v>
      </c>
      <c r="E55" s="27"/>
      <c r="F55" s="5"/>
      <c r="G55" s="30">
        <v>1</v>
      </c>
      <c r="K55" t="s">
        <v>265</v>
      </c>
      <c r="L55">
        <v>13</v>
      </c>
      <c r="M55" s="6" t="s">
        <v>279</v>
      </c>
      <c r="N55" s="6" t="s">
        <v>293</v>
      </c>
      <c r="O55" s="6"/>
      <c r="P55" s="6"/>
      <c r="Q55" s="6"/>
      <c r="R55" s="6">
        <v>4</v>
      </c>
      <c r="S55" s="6">
        <v>4</v>
      </c>
      <c r="T55" s="6">
        <v>4</v>
      </c>
      <c r="U55" s="6">
        <v>4</v>
      </c>
      <c r="V55" s="6">
        <v>4</v>
      </c>
      <c r="W55" s="6"/>
      <c r="X55" s="6"/>
      <c r="Y55" s="6"/>
      <c r="Z55" s="6"/>
      <c r="AA55" s="6"/>
      <c r="AB55" t="s">
        <v>294</v>
      </c>
    </row>
    <row r="56" spans="2:28">
      <c r="B56" t="str">
        <v/>
      </c>
      <c r="C56" s="5"/>
      <c r="D56" s="5"/>
      <c r="E56" s="27"/>
      <c r="F56" s="5"/>
      <c r="G56" s="30">
        <v>1</v>
      </c>
      <c r="K56" t="s">
        <v>259</v>
      </c>
      <c r="L56">
        <v>14</v>
      </c>
      <c r="M56" s="6" t="s">
        <v>279</v>
      </c>
      <c r="N56" s="6" t="s">
        <v>293</v>
      </c>
      <c r="O56" s="6"/>
      <c r="P56" s="6"/>
      <c r="Q56" s="6"/>
      <c r="R56" s="6">
        <v>4</v>
      </c>
      <c r="S56" s="6">
        <v>4</v>
      </c>
      <c r="T56" s="6">
        <v>4</v>
      </c>
      <c r="U56" s="6">
        <v>4</v>
      </c>
      <c r="V56" s="6">
        <v>4</v>
      </c>
      <c r="W56" s="6"/>
      <c r="X56" s="6"/>
      <c r="Y56" s="6"/>
      <c r="Z56" s="6"/>
      <c r="AA56" s="6"/>
      <c r="AB56" t="s">
        <v>297</v>
      </c>
    </row>
    <row r="57" spans="2:28">
      <c r="B57" t="str">
        <v/>
      </c>
      <c r="C57" s="5"/>
      <c r="D57" s="5"/>
      <c r="E57" s="27"/>
      <c r="F57" s="5"/>
      <c r="G57" s="30">
        <v>1</v>
      </c>
      <c r="K57" t="s">
        <v>272</v>
      </c>
      <c r="L57">
        <v>15</v>
      </c>
      <c r="M57" s="6" t="s">
        <v>279</v>
      </c>
      <c r="N57" s="6" t="s">
        <v>293</v>
      </c>
      <c r="O57" s="6"/>
      <c r="P57" s="6"/>
      <c r="Q57" s="6"/>
      <c r="R57" s="6">
        <v>4</v>
      </c>
      <c r="S57" s="6">
        <v>4</v>
      </c>
      <c r="T57" s="6">
        <v>4</v>
      </c>
      <c r="U57" s="6">
        <v>4</v>
      </c>
      <c r="V57" s="6">
        <v>4</v>
      </c>
      <c r="W57" s="6"/>
      <c r="X57" s="6"/>
      <c r="Y57" s="6"/>
      <c r="Z57" s="6"/>
      <c r="AA57" s="6"/>
      <c r="AB57" t="s">
        <v>300</v>
      </c>
    </row>
    <row r="58" spans="2:28">
      <c r="B58">
        <v>49</v>
      </c>
      <c r="C58" s="5" t="s">
        <v>354</v>
      </c>
      <c r="D58" s="5" t="s">
        <v>355</v>
      </c>
      <c r="E58" s="27"/>
      <c r="F58" s="5"/>
      <c r="G58" s="30">
        <v>1</v>
      </c>
      <c r="K58" t="s">
        <v>263</v>
      </c>
      <c r="L58">
        <v>16</v>
      </c>
      <c r="M58" s="6" t="s">
        <v>279</v>
      </c>
      <c r="N58" s="6" t="s">
        <v>293</v>
      </c>
      <c r="O58" s="6"/>
      <c r="P58" s="6"/>
      <c r="Q58" s="6"/>
      <c r="R58" s="6">
        <v>5</v>
      </c>
      <c r="S58" s="6">
        <v>5</v>
      </c>
      <c r="T58" s="6">
        <v>5</v>
      </c>
      <c r="U58" s="6">
        <v>5</v>
      </c>
      <c r="V58" s="6">
        <v>5</v>
      </c>
      <c r="W58" s="6"/>
      <c r="X58" s="6"/>
      <c r="Y58" s="6"/>
      <c r="Z58" s="6"/>
      <c r="AA58" s="6"/>
      <c r="AB58" t="s">
        <v>303</v>
      </c>
    </row>
    <row r="59" spans="2:28">
      <c r="B59">
        <v>50</v>
      </c>
      <c r="C59" s="5" t="s">
        <v>357</v>
      </c>
      <c r="D59" s="5" t="s">
        <v>358</v>
      </c>
      <c r="E59" s="27"/>
      <c r="F59" s="5"/>
      <c r="G59" s="30">
        <v>1</v>
      </c>
      <c r="K59" t="s">
        <v>265</v>
      </c>
      <c r="L59">
        <v>17</v>
      </c>
      <c r="M59" s="6" t="s">
        <v>306</v>
      </c>
      <c r="N59" s="6" t="s">
        <v>306</v>
      </c>
      <c r="O59" s="6"/>
      <c r="P59" s="6"/>
      <c r="Q59" s="6"/>
      <c r="R59" s="6">
        <v>4</v>
      </c>
      <c r="S59" s="6">
        <v>4</v>
      </c>
      <c r="T59" s="6">
        <v>4</v>
      </c>
      <c r="U59" s="6">
        <v>4</v>
      </c>
      <c r="V59" s="6">
        <v>4</v>
      </c>
      <c r="W59" s="6"/>
      <c r="X59" s="6"/>
      <c r="Y59" s="6"/>
      <c r="Z59" s="6"/>
      <c r="AA59" s="6"/>
      <c r="AB59" t="s">
        <v>307</v>
      </c>
    </row>
    <row r="60" spans="2:28">
      <c r="B60">
        <v>51</v>
      </c>
      <c r="C60" s="5" t="s">
        <v>360</v>
      </c>
      <c r="D60" s="5" t="s">
        <v>361</v>
      </c>
      <c r="E60" s="27"/>
      <c r="F60" s="5"/>
      <c r="G60" s="30">
        <v>1</v>
      </c>
      <c r="K60" t="s">
        <v>259</v>
      </c>
      <c r="L60">
        <v>18</v>
      </c>
      <c r="M60" s="6" t="s">
        <v>306</v>
      </c>
      <c r="N60" s="6" t="s">
        <v>306</v>
      </c>
      <c r="O60" s="6"/>
      <c r="P60" s="6"/>
      <c r="Q60" s="6"/>
      <c r="R60" s="6">
        <v>4</v>
      </c>
      <c r="S60" s="6">
        <v>4</v>
      </c>
      <c r="T60" s="6">
        <v>4</v>
      </c>
      <c r="U60" s="6">
        <v>4</v>
      </c>
      <c r="V60" s="6">
        <v>4</v>
      </c>
      <c r="W60" s="6"/>
      <c r="X60" s="6"/>
      <c r="Y60" s="6"/>
      <c r="Z60" s="6"/>
      <c r="AA60" s="6"/>
      <c r="AB60" t="s">
        <v>308</v>
      </c>
    </row>
    <row r="61" spans="2:28">
      <c r="B61">
        <v>52</v>
      </c>
      <c r="C61" s="5" t="s">
        <v>363</v>
      </c>
      <c r="D61" s="5" t="s">
        <v>364</v>
      </c>
      <c r="E61" s="27"/>
      <c r="F61" s="5"/>
      <c r="G61" s="30">
        <v>1</v>
      </c>
      <c r="K61" t="s">
        <v>272</v>
      </c>
      <c r="L61">
        <v>19</v>
      </c>
      <c r="M61" s="6" t="s">
        <v>306</v>
      </c>
      <c r="N61" s="6" t="s">
        <v>306</v>
      </c>
      <c r="O61" s="6"/>
      <c r="P61" s="6"/>
      <c r="Q61" s="6"/>
      <c r="R61" s="6">
        <v>4</v>
      </c>
      <c r="S61" s="6">
        <v>4</v>
      </c>
      <c r="T61" s="6">
        <v>4</v>
      </c>
      <c r="U61" s="6">
        <v>4</v>
      </c>
      <c r="V61" s="6">
        <v>4</v>
      </c>
      <c r="W61" s="6"/>
      <c r="X61" s="6"/>
      <c r="Y61" s="6"/>
      <c r="Z61" s="6"/>
      <c r="AA61" s="6"/>
      <c r="AB61" t="s">
        <v>309</v>
      </c>
    </row>
    <row r="62" spans="2:28">
      <c r="B62">
        <v>53</v>
      </c>
      <c r="C62" s="5" t="s">
        <v>367</v>
      </c>
      <c r="D62" s="5" t="s">
        <v>368</v>
      </c>
      <c r="E62" s="27"/>
      <c r="F62" s="5"/>
      <c r="G62" s="30">
        <v>1</v>
      </c>
      <c r="K62" t="s">
        <v>263</v>
      </c>
      <c r="L62">
        <v>20</v>
      </c>
      <c r="M62" s="6" t="s">
        <v>306</v>
      </c>
      <c r="N62" s="6" t="s">
        <v>306</v>
      </c>
      <c r="O62" s="6"/>
      <c r="P62" s="6"/>
      <c r="Q62" s="6"/>
      <c r="R62" s="6">
        <v>5</v>
      </c>
      <c r="S62" s="6">
        <v>5</v>
      </c>
      <c r="T62" s="6">
        <v>5</v>
      </c>
      <c r="U62" s="6">
        <v>5</v>
      </c>
      <c r="V62" s="6">
        <v>5</v>
      </c>
      <c r="W62" s="6"/>
      <c r="X62" s="6"/>
      <c r="Y62" s="6"/>
      <c r="Z62" s="6"/>
      <c r="AA62" s="6"/>
      <c r="AB62" t="s">
        <v>312</v>
      </c>
    </row>
    <row r="63" spans="2:28">
      <c r="B63">
        <v>54</v>
      </c>
      <c r="C63" s="5" t="s">
        <v>371</v>
      </c>
      <c r="D63" s="5" t="s">
        <v>372</v>
      </c>
      <c r="E63" s="27"/>
      <c r="F63" s="5"/>
      <c r="G63" s="30">
        <v>1</v>
      </c>
      <c r="K63" t="s">
        <v>265</v>
      </c>
      <c r="L63">
        <v>21</v>
      </c>
      <c r="M63" s="6" t="s">
        <v>306</v>
      </c>
      <c r="N63" s="6" t="s">
        <v>315</v>
      </c>
      <c r="O63" s="6"/>
      <c r="P63" s="6"/>
      <c r="Q63" s="6"/>
      <c r="R63" s="6">
        <v>4</v>
      </c>
      <c r="S63" s="6">
        <v>4</v>
      </c>
      <c r="T63" s="6">
        <v>4</v>
      </c>
      <c r="U63" s="6">
        <v>4</v>
      </c>
      <c r="V63" s="6">
        <v>4</v>
      </c>
      <c r="W63" s="6"/>
      <c r="X63" s="6"/>
      <c r="Y63" s="6"/>
      <c r="Z63" s="6"/>
      <c r="AA63" s="6"/>
      <c r="AB63" t="s">
        <v>316</v>
      </c>
    </row>
    <row r="64" spans="2:28">
      <c r="B64">
        <v>55</v>
      </c>
      <c r="C64" s="5" t="s">
        <v>375</v>
      </c>
      <c r="D64" s="5" t="s">
        <v>376</v>
      </c>
      <c r="E64" s="27"/>
      <c r="F64" s="5"/>
      <c r="G64" s="30">
        <v>1</v>
      </c>
      <c r="K64" t="s">
        <v>259</v>
      </c>
      <c r="L64">
        <v>22</v>
      </c>
      <c r="M64" s="6" t="s">
        <v>306</v>
      </c>
      <c r="N64" s="6" t="s">
        <v>315</v>
      </c>
      <c r="O64" s="6"/>
      <c r="P64" s="6"/>
      <c r="Q64" s="6"/>
      <c r="R64" s="6">
        <v>4</v>
      </c>
      <c r="S64" s="6">
        <v>4</v>
      </c>
      <c r="T64" s="6">
        <v>4</v>
      </c>
      <c r="U64" s="6">
        <v>4</v>
      </c>
      <c r="V64" s="6">
        <v>4</v>
      </c>
      <c r="W64" s="6"/>
      <c r="X64" s="6"/>
      <c r="Y64" s="6"/>
      <c r="Z64" s="6"/>
      <c r="AA64" s="6"/>
      <c r="AB64" t="s">
        <v>319</v>
      </c>
    </row>
    <row r="65" spans="2:28">
      <c r="B65">
        <v>56</v>
      </c>
      <c r="C65" s="5" t="s">
        <v>377</v>
      </c>
      <c r="D65" s="5" t="s">
        <v>378</v>
      </c>
      <c r="E65" s="27"/>
      <c r="F65" s="5"/>
      <c r="G65" s="30">
        <v>1</v>
      </c>
      <c r="K65" t="s">
        <v>272</v>
      </c>
      <c r="L65">
        <v>23</v>
      </c>
      <c r="M65" s="6" t="s">
        <v>306</v>
      </c>
      <c r="N65" s="6" t="s">
        <v>315</v>
      </c>
      <c r="O65" s="6"/>
      <c r="P65" s="6"/>
      <c r="Q65" s="6"/>
      <c r="R65" s="6">
        <v>4</v>
      </c>
      <c r="S65" s="6">
        <v>4</v>
      </c>
      <c r="T65" s="6">
        <v>4</v>
      </c>
      <c r="U65" s="6">
        <v>4</v>
      </c>
      <c r="V65" s="6">
        <v>4</v>
      </c>
      <c r="W65" s="6"/>
      <c r="X65" s="6"/>
      <c r="Y65" s="6"/>
      <c r="Z65" s="6"/>
      <c r="AA65" s="6"/>
      <c r="AB65" t="s">
        <v>322</v>
      </c>
    </row>
    <row r="66" spans="2:28">
      <c r="B66">
        <v>57</v>
      </c>
      <c r="C66" s="5" t="s">
        <v>379</v>
      </c>
      <c r="D66" s="5" t="s">
        <v>380</v>
      </c>
      <c r="E66" s="27"/>
      <c r="F66" s="5"/>
      <c r="G66" s="30">
        <v>1</v>
      </c>
      <c r="K66" t="s">
        <v>263</v>
      </c>
      <c r="L66">
        <v>24</v>
      </c>
      <c r="M66" s="6" t="s">
        <v>306</v>
      </c>
      <c r="N66" s="6" t="s">
        <v>315</v>
      </c>
      <c r="O66" s="6"/>
      <c r="P66" s="6"/>
      <c r="Q66" s="6"/>
      <c r="R66" s="6">
        <v>5</v>
      </c>
      <c r="S66" s="6">
        <v>5</v>
      </c>
      <c r="T66" s="6">
        <v>5</v>
      </c>
      <c r="U66" s="6">
        <v>5</v>
      </c>
      <c r="V66" s="6">
        <v>5</v>
      </c>
      <c r="W66" s="6"/>
      <c r="X66" s="6"/>
      <c r="Y66" s="6"/>
      <c r="Z66" s="6"/>
      <c r="AA66" s="6"/>
      <c r="AB66" t="s">
        <v>325</v>
      </c>
    </row>
    <row r="67" spans="2:28">
      <c r="B67">
        <v>58</v>
      </c>
      <c r="C67" s="5" t="s">
        <v>381</v>
      </c>
      <c r="D67" s="5" t="s">
        <v>382</v>
      </c>
      <c r="E67" s="27"/>
      <c r="F67" s="5"/>
      <c r="G67" s="30">
        <v>1</v>
      </c>
      <c r="K67" t="s">
        <v>265</v>
      </c>
      <c r="L67">
        <v>25</v>
      </c>
      <c r="M67" s="6" t="s">
        <v>328</v>
      </c>
      <c r="N67" s="6" t="s">
        <v>329</v>
      </c>
      <c r="O67" s="6"/>
      <c r="P67" s="6"/>
      <c r="Q67" s="6"/>
      <c r="R67" s="6">
        <v>4</v>
      </c>
      <c r="S67" s="6">
        <v>4</v>
      </c>
      <c r="T67" s="6">
        <v>4</v>
      </c>
      <c r="U67" s="6">
        <v>4</v>
      </c>
      <c r="V67" s="6">
        <v>4</v>
      </c>
      <c r="W67" s="6"/>
      <c r="X67" s="6"/>
      <c r="Y67" s="6"/>
      <c r="Z67" s="6"/>
      <c r="AA67" s="6"/>
      <c r="AB67" t="s">
        <v>330</v>
      </c>
    </row>
    <row r="68" spans="2:28">
      <c r="B68">
        <v>59</v>
      </c>
      <c r="C68" s="5" t="s">
        <v>383</v>
      </c>
      <c r="D68" s="5" t="s">
        <v>384</v>
      </c>
      <c r="E68" s="27"/>
      <c r="F68" s="5"/>
      <c r="G68" s="30">
        <v>1</v>
      </c>
      <c r="K68" t="s">
        <v>259</v>
      </c>
      <c r="L68">
        <v>26</v>
      </c>
      <c r="M68" s="6" t="s">
        <v>328</v>
      </c>
      <c r="N68" s="6" t="s">
        <v>329</v>
      </c>
      <c r="O68" s="6"/>
      <c r="P68" s="6"/>
      <c r="Q68" s="6"/>
      <c r="R68" s="6">
        <v>4</v>
      </c>
      <c r="S68" s="6">
        <v>4</v>
      </c>
      <c r="T68" s="6">
        <v>4</v>
      </c>
      <c r="U68" s="6">
        <v>4</v>
      </c>
      <c r="V68" s="6">
        <v>4</v>
      </c>
      <c r="W68" s="6"/>
      <c r="X68" s="6"/>
      <c r="Y68" s="6"/>
      <c r="Z68" s="6"/>
      <c r="AA68" s="6"/>
      <c r="AB68" t="s">
        <v>333</v>
      </c>
    </row>
    <row r="69" spans="2:28">
      <c r="B69">
        <v>60</v>
      </c>
      <c r="C69" s="5" t="s">
        <v>385</v>
      </c>
      <c r="D69" s="5" t="s">
        <v>386</v>
      </c>
      <c r="E69" s="27"/>
      <c r="F69" s="5"/>
      <c r="G69" s="30">
        <v>1</v>
      </c>
      <c r="K69" t="s">
        <v>272</v>
      </c>
      <c r="L69">
        <v>27</v>
      </c>
      <c r="M69" s="6" t="s">
        <v>328</v>
      </c>
      <c r="N69" s="6" t="s">
        <v>329</v>
      </c>
      <c r="O69" s="6"/>
      <c r="P69" s="6"/>
      <c r="Q69" s="6"/>
      <c r="R69" s="6">
        <v>4</v>
      </c>
      <c r="S69" s="6">
        <v>4</v>
      </c>
      <c r="T69" s="6">
        <v>4</v>
      </c>
      <c r="U69" s="6">
        <v>4</v>
      </c>
      <c r="V69" s="6">
        <v>4</v>
      </c>
      <c r="W69" s="6"/>
      <c r="X69" s="6"/>
      <c r="Y69" s="6"/>
      <c r="Z69" s="6"/>
      <c r="AA69" s="6"/>
      <c r="AB69" t="s">
        <v>336</v>
      </c>
    </row>
    <row r="70" spans="2:28">
      <c r="B70" t="str">
        <v/>
      </c>
      <c r="C70" s="5"/>
      <c r="D70" s="5"/>
      <c r="E70" s="27"/>
      <c r="F70" s="5"/>
      <c r="G70" s="30">
        <v>1</v>
      </c>
      <c r="K70" t="s">
        <v>265</v>
      </c>
      <c r="L70">
        <v>28</v>
      </c>
      <c r="M70" s="6" t="s">
        <v>339</v>
      </c>
      <c r="N70" s="6" t="s">
        <v>339</v>
      </c>
      <c r="O70" s="6"/>
      <c r="P70" s="6"/>
      <c r="Q70" s="6"/>
      <c r="R70" s="6">
        <v>4</v>
      </c>
      <c r="S70" s="6">
        <v>4</v>
      </c>
      <c r="T70" s="6">
        <v>4</v>
      </c>
      <c r="U70" s="6">
        <v>4</v>
      </c>
      <c r="V70" s="6">
        <v>4</v>
      </c>
      <c r="W70" s="6"/>
      <c r="X70" s="6"/>
      <c r="Y70" s="6"/>
      <c r="Z70" s="6"/>
      <c r="AA70" s="6"/>
      <c r="AB70" t="s">
        <v>340</v>
      </c>
    </row>
    <row r="71" spans="2:28">
      <c r="B71" t="str">
        <v/>
      </c>
      <c r="C71" s="5"/>
      <c r="D71" s="5"/>
      <c r="E71" s="27"/>
      <c r="F71" s="5"/>
      <c r="G71" s="30">
        <v>1</v>
      </c>
      <c r="K71" t="s">
        <v>259</v>
      </c>
      <c r="L71">
        <v>29</v>
      </c>
      <c r="M71" s="6" t="s">
        <v>339</v>
      </c>
      <c r="N71" s="6" t="s">
        <v>339</v>
      </c>
      <c r="O71" s="6"/>
      <c r="P71" s="6"/>
      <c r="Q71" s="6"/>
      <c r="R71" s="6">
        <v>4</v>
      </c>
      <c r="S71" s="6">
        <v>4</v>
      </c>
      <c r="T71" s="6">
        <v>4</v>
      </c>
      <c r="U71" s="6">
        <v>4</v>
      </c>
      <c r="V71" s="6">
        <v>4</v>
      </c>
      <c r="W71" s="6"/>
      <c r="X71" s="6"/>
      <c r="Y71" s="6"/>
      <c r="Z71" s="6"/>
      <c r="AA71" s="6"/>
      <c r="AB71" t="s">
        <v>343</v>
      </c>
    </row>
    <row r="72" spans="2:28">
      <c r="B72">
        <v>61</v>
      </c>
      <c r="C72" s="5" t="s">
        <v>387</v>
      </c>
      <c r="D72" s="5" t="s">
        <v>388</v>
      </c>
      <c r="E72" s="27"/>
      <c r="F72" s="5"/>
      <c r="G72" s="30">
        <v>1</v>
      </c>
      <c r="K72" t="s">
        <v>265</v>
      </c>
      <c r="L72">
        <v>30</v>
      </c>
      <c r="M72" s="6" t="s">
        <v>346</v>
      </c>
      <c r="N72" s="6" t="s">
        <v>346</v>
      </c>
      <c r="O72" s="6"/>
      <c r="P72" s="6"/>
      <c r="Q72" s="6"/>
      <c r="R72" s="6">
        <v>4</v>
      </c>
      <c r="S72" s="6">
        <v>4</v>
      </c>
      <c r="T72" s="6">
        <v>4</v>
      </c>
      <c r="U72" s="6">
        <v>4</v>
      </c>
      <c r="V72" s="6">
        <v>4</v>
      </c>
      <c r="W72" s="6"/>
      <c r="X72" s="6"/>
      <c r="Y72" s="6"/>
      <c r="Z72" s="6"/>
      <c r="AA72" s="6"/>
      <c r="AB72" t="s">
        <v>347</v>
      </c>
    </row>
    <row r="73" spans="2:28">
      <c r="B73">
        <v>62</v>
      </c>
      <c r="C73" s="5" t="s">
        <v>389</v>
      </c>
      <c r="D73" s="5" t="s">
        <v>390</v>
      </c>
      <c r="E73" s="27"/>
      <c r="F73" s="5"/>
      <c r="G73" s="30">
        <v>1</v>
      </c>
      <c r="K73" t="s">
        <v>259</v>
      </c>
      <c r="L73">
        <v>31</v>
      </c>
      <c r="M73" s="6" t="s">
        <v>346</v>
      </c>
      <c r="N73" s="6" t="s">
        <v>346</v>
      </c>
      <c r="O73" s="6"/>
      <c r="P73" s="6"/>
      <c r="Q73" s="6"/>
      <c r="R73" s="6">
        <v>4</v>
      </c>
      <c r="S73" s="6">
        <v>4</v>
      </c>
      <c r="T73" s="6">
        <v>4</v>
      </c>
      <c r="U73" s="6">
        <v>4</v>
      </c>
      <c r="V73" s="6">
        <v>4</v>
      </c>
      <c r="W73" s="6"/>
      <c r="X73" s="6"/>
      <c r="Y73" s="6"/>
      <c r="Z73" s="6"/>
      <c r="AA73" s="6"/>
      <c r="AB73" t="s">
        <v>350</v>
      </c>
    </row>
    <row r="74" spans="2:28">
      <c r="B74">
        <v>63</v>
      </c>
      <c r="C74" s="5" t="s">
        <v>391</v>
      </c>
      <c r="D74" s="5" t="s">
        <v>392</v>
      </c>
      <c r="E74" s="27"/>
      <c r="F74" s="5"/>
      <c r="G74" s="30">
        <v>1</v>
      </c>
      <c r="K74" t="s">
        <v>272</v>
      </c>
      <c r="L74">
        <v>32</v>
      </c>
      <c r="M74" s="6" t="s">
        <v>346</v>
      </c>
      <c r="N74" s="6" t="s">
        <v>346</v>
      </c>
      <c r="O74" s="6"/>
      <c r="P74" s="6"/>
      <c r="Q74" s="6"/>
      <c r="R74" s="6">
        <v>4</v>
      </c>
      <c r="S74" s="6">
        <v>4</v>
      </c>
      <c r="T74" s="6">
        <v>4</v>
      </c>
      <c r="U74" s="6">
        <v>4</v>
      </c>
      <c r="V74" s="6">
        <v>4</v>
      </c>
      <c r="W74" s="6"/>
      <c r="X74" s="6"/>
      <c r="Y74" s="6"/>
      <c r="Z74" s="6"/>
      <c r="AA74" s="6"/>
      <c r="AB74" t="s">
        <v>351</v>
      </c>
    </row>
    <row r="75" spans="2:28">
      <c r="B75">
        <v>64</v>
      </c>
      <c r="C75" s="5" t="s">
        <v>393</v>
      </c>
      <c r="D75" s="5" t="s">
        <v>394</v>
      </c>
      <c r="E75" s="27"/>
      <c r="F75" s="5"/>
      <c r="G75" s="30">
        <v>1</v>
      </c>
      <c r="K75" t="s">
        <v>265</v>
      </c>
      <c r="L75">
        <v>33</v>
      </c>
      <c r="M75" s="6" t="s">
        <v>352</v>
      </c>
      <c r="N75" s="6" t="s">
        <v>352</v>
      </c>
      <c r="O75" s="6"/>
      <c r="P75" s="6"/>
      <c r="Q75" s="6"/>
      <c r="R75" s="6">
        <v>4</v>
      </c>
      <c r="S75" s="6">
        <v>4</v>
      </c>
      <c r="T75" s="6">
        <v>4</v>
      </c>
      <c r="U75" s="6">
        <v>4</v>
      </c>
      <c r="V75" s="6">
        <v>4</v>
      </c>
      <c r="W75" s="6"/>
      <c r="X75" s="6"/>
      <c r="Y75" s="6"/>
      <c r="Z75" s="6"/>
      <c r="AA75" s="6"/>
      <c r="AB75" t="s">
        <v>353</v>
      </c>
    </row>
    <row r="76" spans="2:28">
      <c r="B76">
        <v>65</v>
      </c>
      <c r="C76" s="5" t="s">
        <v>395</v>
      </c>
      <c r="D76" s="5" t="s">
        <v>396</v>
      </c>
      <c r="E76" s="27"/>
      <c r="F76" s="5"/>
      <c r="G76" s="30">
        <v>1</v>
      </c>
      <c r="K76" t="s">
        <v>259</v>
      </c>
      <c r="L76">
        <v>34</v>
      </c>
      <c r="M76" s="6" t="s">
        <v>352</v>
      </c>
      <c r="N76" s="6" t="s">
        <v>352</v>
      </c>
      <c r="O76" s="6"/>
      <c r="P76" s="6"/>
      <c r="Q76" s="6"/>
      <c r="R76" s="6">
        <v>4</v>
      </c>
      <c r="S76" s="6">
        <v>4</v>
      </c>
      <c r="T76" s="6">
        <v>4</v>
      </c>
      <c r="U76" s="6">
        <v>4</v>
      </c>
      <c r="V76" s="6">
        <v>4</v>
      </c>
      <c r="W76" s="6"/>
      <c r="X76" s="6"/>
      <c r="Y76" s="6"/>
      <c r="Z76" s="6"/>
      <c r="AA76" s="6"/>
      <c r="AB76" t="s">
        <v>356</v>
      </c>
    </row>
    <row r="77" spans="2:28">
      <c r="B77">
        <v>66</v>
      </c>
      <c r="C77" s="5" t="s">
        <v>397</v>
      </c>
      <c r="D77" s="5" t="s">
        <v>398</v>
      </c>
      <c r="E77" s="27"/>
      <c r="F77" s="5"/>
      <c r="G77" s="30">
        <v>1</v>
      </c>
      <c r="K77" t="s">
        <v>272</v>
      </c>
      <c r="L77">
        <v>35</v>
      </c>
      <c r="M77" s="6" t="s">
        <v>352</v>
      </c>
      <c r="N77" s="6" t="s">
        <v>352</v>
      </c>
      <c r="O77" s="6"/>
      <c r="P77" s="6"/>
      <c r="Q77" s="6"/>
      <c r="R77" s="6">
        <v>4</v>
      </c>
      <c r="S77" s="6">
        <v>4</v>
      </c>
      <c r="T77" s="6">
        <v>4</v>
      </c>
      <c r="U77" s="6">
        <v>4</v>
      </c>
      <c r="V77" s="6">
        <v>4</v>
      </c>
      <c r="W77" s="6"/>
      <c r="X77" s="6"/>
      <c r="Y77" s="6"/>
      <c r="Z77" s="6"/>
      <c r="AA77" s="6"/>
      <c r="AB77" t="s">
        <v>359</v>
      </c>
    </row>
    <row r="78" spans="2:28">
      <c r="B78">
        <v>67</v>
      </c>
      <c r="C78" s="5" t="s">
        <v>399</v>
      </c>
      <c r="D78" s="5" t="s">
        <v>400</v>
      </c>
      <c r="E78" s="27"/>
      <c r="F78" s="5"/>
      <c r="G78" s="30">
        <v>1</v>
      </c>
      <c r="K78" t="s">
        <v>263</v>
      </c>
      <c r="L78">
        <v>36</v>
      </c>
      <c r="M78" s="6" t="s">
        <v>352</v>
      </c>
      <c r="N78" s="6" t="s">
        <v>352</v>
      </c>
      <c r="O78" s="6"/>
      <c r="P78" s="6"/>
      <c r="Q78" s="6"/>
      <c r="R78" s="6">
        <v>4</v>
      </c>
      <c r="S78" s="6">
        <v>4</v>
      </c>
      <c r="T78" s="6">
        <v>4</v>
      </c>
      <c r="U78" s="6">
        <v>4</v>
      </c>
      <c r="V78" s="6">
        <v>4</v>
      </c>
      <c r="W78" s="6"/>
      <c r="X78" s="6"/>
      <c r="Y78" s="6"/>
      <c r="Z78" s="6"/>
      <c r="AA78" s="6"/>
      <c r="AB78" t="s">
        <v>362</v>
      </c>
    </row>
    <row r="79" spans="2:28">
      <c r="B79">
        <v>68</v>
      </c>
      <c r="C79" s="5" t="s">
        <v>401</v>
      </c>
      <c r="D79" s="5" t="s">
        <v>402</v>
      </c>
      <c r="E79" s="27"/>
      <c r="F79" s="5"/>
      <c r="G79" s="30">
        <v>1</v>
      </c>
      <c r="K79" t="s">
        <v>365</v>
      </c>
      <c r="L79">
        <v>37</v>
      </c>
      <c r="M79" s="6" t="s">
        <v>352</v>
      </c>
      <c r="N79" s="6" t="s">
        <v>352</v>
      </c>
      <c r="O79" s="6"/>
      <c r="P79" s="6"/>
      <c r="Q79" s="6"/>
      <c r="R79" s="6">
        <v>7</v>
      </c>
      <c r="S79" s="6">
        <v>7</v>
      </c>
      <c r="T79" s="6">
        <v>7</v>
      </c>
      <c r="U79" s="6">
        <v>7</v>
      </c>
      <c r="V79" s="6">
        <v>7</v>
      </c>
      <c r="W79" s="6"/>
      <c r="X79" s="6"/>
      <c r="Y79" s="6"/>
      <c r="Z79" s="6"/>
      <c r="AA79" s="6"/>
      <c r="AB79" t="s">
        <v>366</v>
      </c>
    </row>
    <row r="80" spans="2:28">
      <c r="B80">
        <v>69</v>
      </c>
      <c r="C80" s="5" t="s">
        <v>403</v>
      </c>
      <c r="D80" s="5" t="s">
        <v>404</v>
      </c>
      <c r="E80" s="27"/>
      <c r="F80" s="5"/>
      <c r="G80" s="30">
        <v>1</v>
      </c>
      <c r="K80" t="s">
        <v>369</v>
      </c>
      <c r="L80">
        <v>38</v>
      </c>
      <c r="M80" s="6" t="s">
        <v>352</v>
      </c>
      <c r="N80" s="6" t="s">
        <v>352</v>
      </c>
      <c r="O80" s="6"/>
      <c r="P80" s="6"/>
      <c r="Q80" s="6"/>
      <c r="R80" s="6">
        <v>7</v>
      </c>
      <c r="S80" s="6">
        <v>7</v>
      </c>
      <c r="T80" s="6">
        <v>7</v>
      </c>
      <c r="U80" s="6">
        <v>7</v>
      </c>
      <c r="V80" s="6">
        <v>7</v>
      </c>
      <c r="W80" s="6"/>
      <c r="X80" s="6"/>
      <c r="Y80" s="6"/>
      <c r="Z80" s="6"/>
      <c r="AA80" s="6"/>
      <c r="AB80" t="s">
        <v>370</v>
      </c>
    </row>
    <row r="81" spans="2:28">
      <c r="B81">
        <v>70</v>
      </c>
      <c r="C81" s="5" t="s">
        <v>405</v>
      </c>
      <c r="D81" s="5" t="s">
        <v>406</v>
      </c>
      <c r="E81" s="27"/>
      <c r="F81" s="5"/>
      <c r="G81" s="30">
        <v>1</v>
      </c>
      <c r="K81" t="s">
        <v>373</v>
      </c>
      <c r="L81">
        <v>39</v>
      </c>
      <c r="M81" s="6" t="s">
        <v>352</v>
      </c>
      <c r="N81" s="6" t="s">
        <v>352</v>
      </c>
      <c r="O81" s="6"/>
      <c r="P81" s="6"/>
      <c r="Q81" s="6"/>
      <c r="R81" s="6">
        <v>7</v>
      </c>
      <c r="S81" s="6">
        <v>7</v>
      </c>
      <c r="T81" s="6">
        <v>7</v>
      </c>
      <c r="U81" s="6">
        <v>7</v>
      </c>
      <c r="V81" s="6">
        <v>7</v>
      </c>
      <c r="W81" s="6"/>
      <c r="X81" s="6"/>
      <c r="Y81" s="6"/>
      <c r="Z81" s="6"/>
      <c r="AA81" s="6"/>
      <c r="AB81" t="s">
        <v>374</v>
      </c>
    </row>
    <row r="82" spans="2:28">
      <c r="B82">
        <v>71</v>
      </c>
      <c r="C82" s="5" t="s">
        <v>407</v>
      </c>
      <c r="D82" s="5" t="s">
        <v>408</v>
      </c>
      <c r="E82" s="27"/>
      <c r="F82" s="5"/>
    </row>
    <row r="83" spans="2:28">
      <c r="B83">
        <v>72</v>
      </c>
      <c r="C83" s="5" t="s">
        <v>409</v>
      </c>
      <c r="D83" s="5" t="s">
        <v>410</v>
      </c>
      <c r="E83" s="27"/>
      <c r="F83" s="5"/>
    </row>
    <row r="84" spans="2:28">
      <c r="B84" t="str">
        <v/>
      </c>
      <c r="C84" s="5"/>
      <c r="D84" s="5"/>
      <c r="E84" s="27"/>
      <c r="F84" s="5"/>
      <c r="G84" s="30">
        <v>2025.04</v>
      </c>
      <c r="Q84" t="s">
        <v>172</v>
      </c>
      <c r="R84" s="6" t="s">
        <v>184</v>
      </c>
      <c r="T84" t="s">
        <v>185</v>
      </c>
    </row>
    <row r="85" spans="2:28">
      <c r="B85" t="str">
        <v/>
      </c>
      <c r="C85" s="5"/>
      <c r="D85" s="5"/>
      <c r="E85" s="27"/>
      <c r="F85" s="5"/>
      <c r="G85" s="30">
        <v>2025.04</v>
      </c>
      <c r="Q85" t="s">
        <v>173</v>
      </c>
      <c r="R85" s="6" t="s">
        <v>188</v>
      </c>
      <c r="T85" t="s">
        <v>185</v>
      </c>
    </row>
    <row r="86" spans="2:28">
      <c r="B86">
        <v>73</v>
      </c>
      <c r="C86" s="5" t="s">
        <v>411</v>
      </c>
      <c r="D86" s="5" t="s">
        <v>412</v>
      </c>
      <c r="E86" s="27"/>
      <c r="F86" s="5"/>
      <c r="G86" s="30">
        <v>2025.04</v>
      </c>
      <c r="Q86" t="s">
        <v>174</v>
      </c>
      <c r="R86" s="6" t="s">
        <v>191</v>
      </c>
      <c r="T86" t="s">
        <v>185</v>
      </c>
    </row>
    <row r="87" spans="2:28">
      <c r="B87">
        <v>74</v>
      </c>
      <c r="C87" s="5" t="s">
        <v>413</v>
      </c>
      <c r="D87" s="5" t="s">
        <v>414</v>
      </c>
      <c r="E87" s="27"/>
      <c r="F87" s="5"/>
      <c r="G87" s="30">
        <v>2025.04</v>
      </c>
      <c r="Q87" t="s">
        <v>175</v>
      </c>
      <c r="R87" s="6" t="s">
        <v>194</v>
      </c>
      <c r="T87" t="s">
        <v>185</v>
      </c>
    </row>
    <row r="88" spans="2:28">
      <c r="B88">
        <v>75</v>
      </c>
      <c r="C88" s="5" t="s">
        <v>415</v>
      </c>
      <c r="D88" s="5" t="s">
        <v>416</v>
      </c>
      <c r="E88" s="27"/>
      <c r="F88" s="5"/>
      <c r="G88" s="30">
        <v>2025.04</v>
      </c>
      <c r="Q88" t="s">
        <v>176</v>
      </c>
      <c r="R88" s="6" t="s">
        <v>197</v>
      </c>
      <c r="T88" t="s">
        <v>185</v>
      </c>
    </row>
    <row r="89" spans="2:28">
      <c r="B89">
        <v>76</v>
      </c>
      <c r="C89" s="5" t="s">
        <v>417</v>
      </c>
      <c r="D89" s="5" t="s">
        <v>418</v>
      </c>
      <c r="E89" s="27"/>
      <c r="F89" s="5"/>
      <c r="G89" s="30">
        <v>2025.04</v>
      </c>
      <c r="Q89" t="s">
        <v>177</v>
      </c>
      <c r="R89" s="6"/>
      <c r="T89" t="s">
        <v>185</v>
      </c>
    </row>
    <row r="90" spans="2:28">
      <c r="B90">
        <v>77</v>
      </c>
      <c r="C90" s="5" t="s">
        <v>419</v>
      </c>
      <c r="D90" s="5" t="s">
        <v>420</v>
      </c>
      <c r="E90" s="27"/>
      <c r="F90" s="5"/>
      <c r="G90" s="30">
        <v>2025.04</v>
      </c>
      <c r="Q90" t="s">
        <v>178</v>
      </c>
      <c r="R90" s="6"/>
      <c r="T90" t="s">
        <v>185</v>
      </c>
    </row>
    <row r="91" spans="2:28">
      <c r="B91">
        <v>78</v>
      </c>
      <c r="C91" s="5" t="s">
        <v>421</v>
      </c>
      <c r="D91" s="5" t="s">
        <v>422</v>
      </c>
      <c r="E91" s="27"/>
      <c r="F91" s="5"/>
      <c r="G91" s="30">
        <v>2025.04</v>
      </c>
      <c r="Q91" t="s">
        <v>179</v>
      </c>
      <c r="R91" s="6"/>
      <c r="T91" t="s">
        <v>185</v>
      </c>
    </row>
    <row r="92" spans="2:28">
      <c r="B92">
        <v>79</v>
      </c>
      <c r="C92" s="5" t="s">
        <v>423</v>
      </c>
      <c r="D92" s="5" t="s">
        <v>424</v>
      </c>
      <c r="E92" s="27"/>
      <c r="F92" s="5"/>
      <c r="G92" s="30">
        <v>2025.04</v>
      </c>
      <c r="Q92" t="s">
        <v>180</v>
      </c>
      <c r="R92" s="6"/>
      <c r="T92" t="s">
        <v>185</v>
      </c>
    </row>
    <row r="93" spans="2:28">
      <c r="B93">
        <v>80</v>
      </c>
      <c r="C93" s="5" t="s">
        <v>425</v>
      </c>
      <c r="D93" s="5" t="s">
        <v>426</v>
      </c>
      <c r="E93" s="27"/>
      <c r="F93" s="5"/>
      <c r="G93" s="30">
        <v>2025.04</v>
      </c>
      <c r="Q93" t="s">
        <v>181</v>
      </c>
      <c r="R93" s="6"/>
      <c r="T93" t="s">
        <v>185</v>
      </c>
    </row>
    <row r="94" spans="2:28">
      <c r="B94">
        <v>81</v>
      </c>
      <c r="C94" s="5" t="s">
        <v>427</v>
      </c>
      <c r="D94" s="5" t="s">
        <v>428</v>
      </c>
      <c r="E94" s="27"/>
      <c r="F94" s="5"/>
      <c r="G94" s="30">
        <v>2025.04</v>
      </c>
    </row>
    <row r="95" spans="2:28">
      <c r="B95">
        <v>82</v>
      </c>
      <c r="C95" s="5" t="s">
        <v>429</v>
      </c>
      <c r="D95" s="5" t="s">
        <v>430</v>
      </c>
      <c r="E95" s="27"/>
      <c r="F95" s="5"/>
      <c r="G95" s="30">
        <v>2025.04</v>
      </c>
      <c r="Q95" t="s">
        <v>212</v>
      </c>
      <c r="R95" s="6">
        <v>3</v>
      </c>
      <c r="S95" s="7" t="s">
        <v>213</v>
      </c>
      <c r="T95" t="s">
        <v>214</v>
      </c>
      <c r="U95" t="str">
        <f>"無視。"&amp;R95+1&amp;"から処理を繰り返す"</f>
        <v>無視。4から処理を繰り返す</v>
      </c>
    </row>
    <row r="96" spans="2:28">
      <c r="B96">
        <v>83</v>
      </c>
      <c r="C96" s="5" t="s">
        <v>431</v>
      </c>
      <c r="D96" s="5" t="s">
        <v>432</v>
      </c>
      <c r="E96" s="27"/>
      <c r="F96" s="5"/>
      <c r="G96" s="30">
        <v>2025.04</v>
      </c>
      <c r="Q96" t="s">
        <v>215</v>
      </c>
      <c r="R96" s="6">
        <v>1</v>
      </c>
      <c r="S96" t="s">
        <v>216</v>
      </c>
      <c r="T96" t="s">
        <v>217</v>
      </c>
      <c r="U96" t="s">
        <v>218</v>
      </c>
    </row>
    <row r="97" spans="2:21">
      <c r="B97">
        <v>84</v>
      </c>
      <c r="C97" s="5" t="s">
        <v>433</v>
      </c>
      <c r="D97" s="5" t="s">
        <v>434</v>
      </c>
      <c r="E97" s="27"/>
      <c r="F97" s="5"/>
      <c r="G97" s="30">
        <v>2025.04</v>
      </c>
      <c r="Q97" t="s">
        <v>219</v>
      </c>
      <c r="R97" s="6">
        <v>8</v>
      </c>
      <c r="T97" t="s">
        <v>214</v>
      </c>
      <c r="U97" s="7" t="str">
        <f>R97&amp;"行が1日。基準セルよりOffsetで使用。4:11, 12:19, 20:27, 28:35, 36:43, 44:51, 52:59"</f>
        <v>8行が1日。基準セルよりOffsetで使用。4:11, 12:19, 20:27, 28:35, 36:43, 44:51, 52:59</v>
      </c>
    </row>
    <row r="98" spans="2:21">
      <c r="B98" t="str">
        <v/>
      </c>
      <c r="C98" s="5"/>
      <c r="D98" s="5"/>
      <c r="E98" s="27"/>
      <c r="F98" s="5"/>
      <c r="G98" s="30">
        <v>2025.04</v>
      </c>
      <c r="Q98" t="s">
        <v>222</v>
      </c>
      <c r="R98" s="6">
        <v>7</v>
      </c>
      <c r="T98" t="s">
        <v>223</v>
      </c>
      <c r="U98" t="str">
        <f>"縦に"&amp;R98&amp;"回繰り返す"</f>
        <v>縦に7回繰り返す</v>
      </c>
    </row>
    <row r="99" spans="2:21">
      <c r="B99" t="str">
        <v/>
      </c>
      <c r="C99" s="5"/>
      <c r="D99" s="5"/>
      <c r="E99" s="27"/>
      <c r="F99" s="5"/>
      <c r="G99" s="30">
        <v>2025.04</v>
      </c>
    </row>
    <row r="100" spans="2:21">
      <c r="B100">
        <v>85</v>
      </c>
      <c r="C100" s="5" t="s">
        <v>435</v>
      </c>
      <c r="D100" s="5" t="s">
        <v>436</v>
      </c>
      <c r="E100" s="27"/>
      <c r="F100" s="5"/>
      <c r="G100" s="30">
        <v>2025.04</v>
      </c>
      <c r="Q100" t="s">
        <v>228</v>
      </c>
      <c r="R100" s="6" t="s">
        <v>229</v>
      </c>
      <c r="T100" t="s">
        <v>230</v>
      </c>
      <c r="U100" s="7"/>
    </row>
    <row r="101" spans="2:21">
      <c r="B101">
        <v>86</v>
      </c>
      <c r="C101" s="5" t="s">
        <v>437</v>
      </c>
      <c r="D101" s="5" t="s">
        <v>438</v>
      </c>
      <c r="E101" s="27"/>
      <c r="F101" s="5"/>
      <c r="G101" s="30">
        <v>2025.04</v>
      </c>
      <c r="Q101" t="s">
        <v>233</v>
      </c>
      <c r="R101" s="6" t="s">
        <v>234</v>
      </c>
      <c r="T101" t="s">
        <v>230</v>
      </c>
      <c r="U101" s="7"/>
    </row>
    <row r="102" spans="2:21">
      <c r="B102">
        <v>87</v>
      </c>
      <c r="C102" s="5" t="s">
        <v>439</v>
      </c>
      <c r="D102" s="5" t="s">
        <v>440</v>
      </c>
      <c r="E102" s="27"/>
      <c r="F102" s="5"/>
      <c r="G102" s="30">
        <v>2025.04</v>
      </c>
      <c r="Q102" t="s">
        <v>237</v>
      </c>
      <c r="R102" s="6" t="s">
        <v>216</v>
      </c>
      <c r="S102" t="s">
        <v>216</v>
      </c>
      <c r="T102" t="s">
        <v>217</v>
      </c>
    </row>
    <row r="103" spans="2:21">
      <c r="B103">
        <v>88</v>
      </c>
      <c r="C103" s="5" t="s">
        <v>441</v>
      </c>
      <c r="D103" s="5" t="s">
        <v>442</v>
      </c>
      <c r="E103" s="27"/>
      <c r="F103" s="5"/>
      <c r="G103" s="30">
        <v>2025.04</v>
      </c>
      <c r="Q103" t="s">
        <v>237</v>
      </c>
      <c r="R103" s="6">
        <v>3</v>
      </c>
      <c r="T103" t="s">
        <v>240</v>
      </c>
      <c r="U103" s="7" t="s">
        <v>241</v>
      </c>
    </row>
    <row r="104" spans="2:21">
      <c r="B104">
        <v>89</v>
      </c>
      <c r="C104" s="5" t="s">
        <v>443</v>
      </c>
      <c r="D104" s="5" t="s">
        <v>444</v>
      </c>
      <c r="E104" s="27"/>
      <c r="F104" s="5"/>
      <c r="G104" s="30">
        <v>2025.04</v>
      </c>
    </row>
    <row r="105" spans="2:21">
      <c r="B105">
        <v>90</v>
      </c>
      <c r="C105" s="5" t="s">
        <v>445</v>
      </c>
      <c r="D105" s="5" t="s">
        <v>446</v>
      </c>
      <c r="E105" s="27"/>
      <c r="F105" s="5"/>
      <c r="G105" s="30">
        <v>2025.04</v>
      </c>
      <c r="Q105" t="s">
        <v>246</v>
      </c>
      <c r="R105" s="6">
        <v>39</v>
      </c>
      <c r="S105" t="s">
        <v>247</v>
      </c>
      <c r="T105" t="s">
        <v>248</v>
      </c>
      <c r="U105" t="str">
        <f>"横に"&amp;R105&amp;"回繰り返す"</f>
        <v>横に39回繰り返す</v>
      </c>
    </row>
    <row r="106" spans="2:21">
      <c r="B106">
        <v>91</v>
      </c>
      <c r="C106" s="5" t="s">
        <v>447</v>
      </c>
      <c r="D106" s="5" t="s">
        <v>448</v>
      </c>
      <c r="E106" s="27"/>
      <c r="F106" s="5"/>
      <c r="G106" s="30">
        <v>2025.04</v>
      </c>
    </row>
    <row r="107" spans="2:21">
      <c r="B107">
        <v>92</v>
      </c>
      <c r="C107" s="5" t="s">
        <v>449</v>
      </c>
      <c r="D107" s="5" t="s">
        <v>450</v>
      </c>
      <c r="E107" s="27"/>
      <c r="F107" s="5"/>
      <c r="G107" s="30">
        <v>2025.04</v>
      </c>
      <c r="Q107" t="s">
        <v>1014</v>
      </c>
      <c r="R107" t="s">
        <v>891</v>
      </c>
      <c r="S107" t="s">
        <v>892</v>
      </c>
    </row>
    <row r="108" spans="2:21">
      <c r="B108">
        <v>93</v>
      </c>
      <c r="C108" s="5" t="s">
        <v>451</v>
      </c>
      <c r="D108" s="5" t="s">
        <v>452</v>
      </c>
      <c r="E108" s="27"/>
      <c r="F108" s="5"/>
      <c r="G108" s="30">
        <v>2025.04</v>
      </c>
      <c r="O108" t="s">
        <v>893</v>
      </c>
      <c r="P108" t="s">
        <v>1132</v>
      </c>
      <c r="Q108" t="s">
        <v>151</v>
      </c>
      <c r="R108" s="6" t="s">
        <v>894</v>
      </c>
      <c r="S108" s="11" t="s">
        <v>895</v>
      </c>
    </row>
    <row r="109" spans="2:21">
      <c r="B109">
        <v>94</v>
      </c>
      <c r="C109" s="5" t="s">
        <v>453</v>
      </c>
      <c r="D109" s="5" t="s">
        <v>454</v>
      </c>
      <c r="E109" s="27"/>
      <c r="F109" s="5"/>
      <c r="G109" s="30">
        <v>2025.04</v>
      </c>
      <c r="P109" t="s">
        <v>1133</v>
      </c>
      <c r="Q109" t="s">
        <v>152</v>
      </c>
      <c r="R109" s="6" t="s">
        <v>895</v>
      </c>
      <c r="S109" s="11" t="s">
        <v>894</v>
      </c>
    </row>
    <row r="110" spans="2:21">
      <c r="B110">
        <v>95</v>
      </c>
      <c r="C110" s="5" t="s">
        <v>455</v>
      </c>
      <c r="D110" s="5" t="s">
        <v>456</v>
      </c>
      <c r="E110" s="27"/>
      <c r="F110" s="5"/>
      <c r="G110" s="30">
        <v>2025.04</v>
      </c>
      <c r="P110" t="s">
        <v>1134</v>
      </c>
      <c r="Q110" s="17" t="s">
        <v>898</v>
      </c>
      <c r="R110" s="6" t="s">
        <v>899</v>
      </c>
      <c r="S110" s="17" t="s">
        <v>899</v>
      </c>
    </row>
    <row r="111" spans="2:21">
      <c r="B111">
        <v>96</v>
      </c>
      <c r="C111" s="5" t="s">
        <v>457</v>
      </c>
      <c r="D111" s="5" t="s">
        <v>458</v>
      </c>
      <c r="E111" s="27"/>
      <c r="F111" s="5"/>
      <c r="G111" s="30">
        <v>2025.04</v>
      </c>
      <c r="P111" t="s">
        <v>1135</v>
      </c>
      <c r="Q111" s="16" t="s">
        <v>900</v>
      </c>
      <c r="R111" s="6" t="s">
        <v>901</v>
      </c>
      <c r="S111" s="16" t="s">
        <v>901</v>
      </c>
    </row>
    <row r="112" spans="2:21">
      <c r="B112" t="str">
        <v/>
      </c>
      <c r="C112" s="5"/>
      <c r="D112" s="5"/>
      <c r="E112" s="27"/>
      <c r="F112" s="5"/>
      <c r="G112" s="30">
        <v>2025.04</v>
      </c>
      <c r="P112" t="s">
        <v>1136</v>
      </c>
      <c r="T112" t="s">
        <v>902</v>
      </c>
      <c r="U112" t="s">
        <v>903</v>
      </c>
    </row>
    <row r="113" spans="2:27">
      <c r="B113" t="str">
        <v/>
      </c>
      <c r="C113" s="5"/>
      <c r="D113" s="5"/>
      <c r="E113" s="27"/>
      <c r="F113" s="5"/>
      <c r="G113" s="30">
        <v>2025.04</v>
      </c>
      <c r="P113" t="s">
        <v>1137</v>
      </c>
      <c r="Q113" t="s">
        <v>763</v>
      </c>
      <c r="R113" s="6" t="s">
        <v>905</v>
      </c>
      <c r="S113" s="19" t="s">
        <v>906</v>
      </c>
    </row>
    <row r="114" spans="2:27">
      <c r="B114">
        <v>97</v>
      </c>
      <c r="C114" s="5" t="s">
        <v>459</v>
      </c>
      <c r="D114" s="5" t="s">
        <v>460</v>
      </c>
      <c r="E114" s="27"/>
      <c r="F114" s="5"/>
      <c r="G114" s="30">
        <v>2025.04</v>
      </c>
      <c r="P114" t="s">
        <v>1138</v>
      </c>
      <c r="Q114" s="15" t="s">
        <v>714</v>
      </c>
      <c r="R114" s="6" t="s">
        <v>907</v>
      </c>
      <c r="S114" s="15" t="s">
        <v>907</v>
      </c>
    </row>
    <row r="115" spans="2:27">
      <c r="B115">
        <v>98</v>
      </c>
      <c r="C115" s="5" t="s">
        <v>461</v>
      </c>
      <c r="D115" s="5" t="s">
        <v>462</v>
      </c>
      <c r="E115" s="27"/>
      <c r="F115" s="5"/>
      <c r="G115" s="30">
        <v>2025.04</v>
      </c>
      <c r="P115" t="s">
        <v>1139</v>
      </c>
      <c r="Q115" t="s">
        <v>764</v>
      </c>
      <c r="R115" s="6" t="s">
        <v>906</v>
      </c>
      <c r="S115" s="20" t="s">
        <v>909</v>
      </c>
    </row>
    <row r="116" spans="2:27">
      <c r="B116">
        <v>99</v>
      </c>
      <c r="C116" s="5" t="s">
        <v>463</v>
      </c>
      <c r="D116" s="5" t="s">
        <v>464</v>
      </c>
      <c r="E116" s="27"/>
      <c r="F116" s="5"/>
      <c r="G116" s="30">
        <v>2025.04</v>
      </c>
      <c r="P116" t="s">
        <v>1140</v>
      </c>
      <c r="Q116" t="s">
        <v>113</v>
      </c>
      <c r="R116" s="6" t="s">
        <v>910</v>
      </c>
      <c r="S116" t="s">
        <v>910</v>
      </c>
    </row>
    <row r="117" spans="2:27">
      <c r="B117">
        <v>100</v>
      </c>
      <c r="C117" s="5" t="s">
        <v>465</v>
      </c>
      <c r="D117" s="5" t="s">
        <v>466</v>
      </c>
      <c r="E117" s="27"/>
      <c r="F117" s="5"/>
      <c r="G117" s="30">
        <v>2025.04</v>
      </c>
      <c r="P117" t="s">
        <v>1141</v>
      </c>
    </row>
    <row r="118" spans="2:27">
      <c r="B118">
        <v>101</v>
      </c>
      <c r="C118" s="5" t="s">
        <v>467</v>
      </c>
      <c r="D118" s="5" t="s">
        <v>468</v>
      </c>
      <c r="E118" s="27"/>
      <c r="F118" s="5"/>
      <c r="G118" s="30">
        <v>2025.04</v>
      </c>
      <c r="P118" t="s">
        <v>1142</v>
      </c>
      <c r="S118" s="16" t="s">
        <v>903</v>
      </c>
      <c r="T118" s="16" t="s">
        <v>912</v>
      </c>
    </row>
    <row r="119" spans="2:27">
      <c r="B119">
        <v>102</v>
      </c>
      <c r="C119" s="5" t="s">
        <v>469</v>
      </c>
      <c r="D119" s="5" t="s">
        <v>470</v>
      </c>
      <c r="E119" s="27"/>
      <c r="F119" s="5"/>
      <c r="G119" s="30">
        <v>2025.04</v>
      </c>
      <c r="P119" t="s">
        <v>1143</v>
      </c>
      <c r="S119" s="19" t="s">
        <v>905</v>
      </c>
      <c r="T119" t="s">
        <v>913</v>
      </c>
    </row>
    <row r="120" spans="2:27">
      <c r="B120">
        <v>103</v>
      </c>
      <c r="C120" s="5" t="s">
        <v>471</v>
      </c>
      <c r="D120" s="5" t="s">
        <v>472</v>
      </c>
      <c r="E120" s="27"/>
      <c r="F120" s="5"/>
      <c r="G120" s="30">
        <v>2025.04</v>
      </c>
      <c r="P120" t="s">
        <v>1144</v>
      </c>
      <c r="S120" t="s">
        <v>914</v>
      </c>
      <c r="T120" t="s">
        <v>709</v>
      </c>
    </row>
    <row r="121" spans="2:27">
      <c r="B121">
        <v>104</v>
      </c>
      <c r="C121" s="5" t="s">
        <v>473</v>
      </c>
      <c r="D121" s="5" t="s">
        <v>474</v>
      </c>
      <c r="E121" s="27"/>
      <c r="F121" s="5"/>
      <c r="G121" s="30">
        <v>2025.04</v>
      </c>
      <c r="P121" t="s">
        <v>1145</v>
      </c>
    </row>
    <row r="122" spans="2:27">
      <c r="B122">
        <v>105</v>
      </c>
      <c r="C122" s="5" t="s">
        <v>475</v>
      </c>
      <c r="D122" s="5" t="s">
        <v>476</v>
      </c>
      <c r="E122" s="27"/>
      <c r="F122" s="5"/>
      <c r="G122" s="30">
        <v>2025.04</v>
      </c>
      <c r="P122" t="s">
        <v>1146</v>
      </c>
    </row>
    <row r="123" spans="2:27">
      <c r="B123">
        <v>106</v>
      </c>
      <c r="C123" t="s">
        <v>477</v>
      </c>
      <c r="D123" t="s">
        <v>478</v>
      </c>
      <c r="E123" s="27"/>
      <c r="F123" s="5"/>
      <c r="G123" s="30">
        <v>2025.04</v>
      </c>
    </row>
    <row r="124" spans="2:27">
      <c r="B124">
        <v>107</v>
      </c>
      <c r="C124" t="s">
        <v>479</v>
      </c>
      <c r="D124" t="s">
        <v>480</v>
      </c>
      <c r="E124" s="27"/>
      <c r="F124" s="5"/>
      <c r="G124" s="30">
        <v>2025.04</v>
      </c>
      <c r="K124" s="2" t="s">
        <v>596</v>
      </c>
      <c r="L124" s="2" t="s">
        <v>171</v>
      </c>
      <c r="M124" s="2" t="s">
        <v>149</v>
      </c>
      <c r="N124" s="2" t="s">
        <v>150</v>
      </c>
      <c r="O124" s="2" t="s">
        <v>709</v>
      </c>
      <c r="P124" s="2" t="s">
        <v>711</v>
      </c>
      <c r="Q124" s="2" t="s">
        <v>713</v>
      </c>
      <c r="R124" s="2" t="s">
        <v>172</v>
      </c>
      <c r="S124" s="2" t="s">
        <v>173</v>
      </c>
      <c r="T124" s="2" t="s">
        <v>174</v>
      </c>
      <c r="U124" s="2" t="s">
        <v>175</v>
      </c>
      <c r="V124" s="2" t="s">
        <v>176</v>
      </c>
      <c r="W124" s="2" t="s">
        <v>177</v>
      </c>
      <c r="X124" s="2" t="s">
        <v>178</v>
      </c>
      <c r="Y124" s="2" t="s">
        <v>179</v>
      </c>
      <c r="Z124" s="2" t="s">
        <v>180</v>
      </c>
      <c r="AA124" s="2" t="s">
        <v>181</v>
      </c>
    </row>
    <row r="125" spans="2:27">
      <c r="B125">
        <v>108</v>
      </c>
      <c r="C125" s="5" t="s">
        <v>481</v>
      </c>
      <c r="D125" s="5" t="s">
        <v>482</v>
      </c>
      <c r="E125" s="27"/>
      <c r="F125" s="5"/>
      <c r="G125" s="30">
        <v>2025.04</v>
      </c>
      <c r="K125" t="s">
        <v>255</v>
      </c>
      <c r="L125">
        <v>1</v>
      </c>
      <c r="M125" s="6" t="s">
        <v>253</v>
      </c>
      <c r="N125" s="6" t="s">
        <v>254</v>
      </c>
      <c r="O125" s="6"/>
      <c r="P125" s="6"/>
      <c r="Q125" s="6"/>
      <c r="R125" s="6">
        <v>4</v>
      </c>
      <c r="S125" s="6">
        <v>4</v>
      </c>
      <c r="T125" s="6">
        <v>4</v>
      </c>
      <c r="U125" s="6">
        <v>4</v>
      </c>
      <c r="V125" s="6">
        <v>4</v>
      </c>
      <c r="W125" s="6"/>
      <c r="X125" s="6"/>
      <c r="Y125" s="6"/>
      <c r="Z125" s="6"/>
      <c r="AA125" s="6"/>
    </row>
    <row r="126" spans="2:27">
      <c r="B126" t="str">
        <v/>
      </c>
      <c r="C126" s="5"/>
      <c r="D126" s="5"/>
      <c r="E126" s="27"/>
      <c r="F126" s="5"/>
      <c r="G126" s="30">
        <v>2025.04</v>
      </c>
      <c r="K126" t="s">
        <v>259</v>
      </c>
      <c r="L126">
        <v>2</v>
      </c>
      <c r="M126" s="6" t="s">
        <v>253</v>
      </c>
      <c r="N126" s="6" t="s">
        <v>254</v>
      </c>
      <c r="O126" s="6"/>
      <c r="P126" s="6"/>
      <c r="Q126" s="6"/>
      <c r="R126" s="6">
        <v>4</v>
      </c>
      <c r="S126" s="6">
        <v>4</v>
      </c>
      <c r="T126" s="6">
        <v>4</v>
      </c>
      <c r="U126" s="6">
        <v>4</v>
      </c>
      <c r="V126" s="6">
        <v>4</v>
      </c>
      <c r="W126" s="6"/>
      <c r="X126" s="6"/>
      <c r="Y126" s="6"/>
      <c r="Z126" s="6"/>
      <c r="AA126" s="6"/>
    </row>
    <row r="127" spans="2:27">
      <c r="B127" t="str">
        <v/>
      </c>
      <c r="C127" s="5"/>
      <c r="D127" s="5"/>
      <c r="E127" s="27"/>
      <c r="F127" s="5"/>
      <c r="G127" s="30">
        <v>2025.04</v>
      </c>
      <c r="K127" t="s">
        <v>262</v>
      </c>
      <c r="L127">
        <v>3</v>
      </c>
      <c r="M127" s="6" t="s">
        <v>253</v>
      </c>
      <c r="N127" s="6" t="s">
        <v>254</v>
      </c>
      <c r="O127" s="6"/>
      <c r="P127" s="6"/>
      <c r="Q127" s="6"/>
      <c r="R127" s="6">
        <v>4</v>
      </c>
      <c r="S127" s="6">
        <v>4</v>
      </c>
      <c r="T127" s="6">
        <v>4</v>
      </c>
      <c r="U127" s="6">
        <v>4</v>
      </c>
      <c r="V127" s="6">
        <v>4</v>
      </c>
      <c r="W127" s="6"/>
      <c r="X127" s="6"/>
      <c r="Y127" s="6"/>
      <c r="Z127" s="6"/>
      <c r="AA127" s="6"/>
    </row>
    <row r="128" spans="2:27">
      <c r="B128">
        <v>109</v>
      </c>
      <c r="C128" s="5" t="s">
        <v>483</v>
      </c>
      <c r="D128" s="5" t="s">
        <v>484</v>
      </c>
      <c r="E128" s="27"/>
      <c r="F128" s="5"/>
      <c r="G128" s="30">
        <v>2025.04</v>
      </c>
      <c r="K128" t="s">
        <v>263</v>
      </c>
      <c r="L128">
        <v>4</v>
      </c>
      <c r="M128" s="6" t="s">
        <v>253</v>
      </c>
      <c r="N128" s="6" t="s">
        <v>254</v>
      </c>
      <c r="O128" s="6"/>
      <c r="P128" s="6"/>
      <c r="Q128" s="6"/>
      <c r="R128" s="6">
        <v>5</v>
      </c>
      <c r="S128" s="6">
        <v>5</v>
      </c>
      <c r="T128" s="6">
        <v>5</v>
      </c>
      <c r="U128" s="6">
        <v>5</v>
      </c>
      <c r="V128" s="6">
        <v>5</v>
      </c>
      <c r="W128" s="6"/>
      <c r="X128" s="6"/>
      <c r="Y128" s="6"/>
      <c r="Z128" s="6"/>
      <c r="AA128" s="6"/>
    </row>
    <row r="129" spans="2:27">
      <c r="B129">
        <v>110</v>
      </c>
      <c r="C129" s="5" t="s">
        <v>485</v>
      </c>
      <c r="D129" s="5" t="s">
        <v>486</v>
      </c>
      <c r="E129" s="27"/>
      <c r="F129" s="5"/>
      <c r="G129" s="30">
        <v>2025.04</v>
      </c>
      <c r="K129" t="s">
        <v>265</v>
      </c>
      <c r="L129">
        <v>5</v>
      </c>
      <c r="M129" s="6" t="s">
        <v>253</v>
      </c>
      <c r="N129" s="6" t="s">
        <v>264</v>
      </c>
      <c r="O129" s="6"/>
      <c r="P129" s="6"/>
      <c r="Q129" s="6"/>
      <c r="R129" s="6">
        <v>4</v>
      </c>
      <c r="S129" s="6">
        <v>4</v>
      </c>
      <c r="T129" s="6">
        <v>4</v>
      </c>
      <c r="U129" s="6">
        <v>4</v>
      </c>
      <c r="V129" s="6">
        <v>4</v>
      </c>
      <c r="W129" s="6"/>
      <c r="X129" s="6"/>
      <c r="Y129" s="6"/>
      <c r="Z129" s="6"/>
      <c r="AA129" s="6"/>
    </row>
    <row r="130" spans="2:27">
      <c r="B130">
        <v>111</v>
      </c>
      <c r="C130" s="5" t="s">
        <v>487</v>
      </c>
      <c r="D130" s="5" t="s">
        <v>488</v>
      </c>
      <c r="E130" s="27"/>
      <c r="F130" s="5"/>
      <c r="G130" s="30">
        <v>2025.04</v>
      </c>
      <c r="K130" t="s">
        <v>259</v>
      </c>
      <c r="L130">
        <v>6</v>
      </c>
      <c r="M130" s="6" t="s">
        <v>253</v>
      </c>
      <c r="N130" s="6" t="s">
        <v>264</v>
      </c>
      <c r="O130" s="6"/>
      <c r="P130" s="6"/>
      <c r="Q130" s="6"/>
      <c r="R130" s="6">
        <v>4</v>
      </c>
      <c r="S130" s="6">
        <v>4</v>
      </c>
      <c r="T130" s="6">
        <v>4</v>
      </c>
      <c r="U130" s="6">
        <v>4</v>
      </c>
      <c r="V130" s="6">
        <v>4</v>
      </c>
      <c r="W130" s="6"/>
      <c r="X130" s="6"/>
      <c r="Y130" s="6"/>
      <c r="Z130" s="6"/>
      <c r="AA130" s="6"/>
    </row>
    <row r="131" spans="2:27">
      <c r="B131">
        <v>112</v>
      </c>
      <c r="C131" s="5" t="s">
        <v>489</v>
      </c>
      <c r="D131" s="5" t="s">
        <v>490</v>
      </c>
      <c r="E131" s="27"/>
      <c r="F131" s="5"/>
      <c r="G131" s="30">
        <v>2025.04</v>
      </c>
      <c r="K131" t="s">
        <v>272</v>
      </c>
      <c r="L131">
        <v>7</v>
      </c>
      <c r="M131" s="6" t="s">
        <v>253</v>
      </c>
      <c r="N131" s="6" t="s">
        <v>264</v>
      </c>
      <c r="O131" s="6"/>
      <c r="P131" s="6"/>
      <c r="Q131" s="6"/>
      <c r="R131" s="6">
        <v>4</v>
      </c>
      <c r="S131" s="6">
        <v>4</v>
      </c>
      <c r="T131" s="6">
        <v>4</v>
      </c>
      <c r="U131" s="6">
        <v>4</v>
      </c>
      <c r="V131" s="6">
        <v>4</v>
      </c>
      <c r="W131" s="6"/>
      <c r="X131" s="6"/>
      <c r="Y131" s="6"/>
      <c r="Z131" s="6"/>
      <c r="AA131" s="6"/>
    </row>
    <row r="132" spans="2:27">
      <c r="B132">
        <v>113</v>
      </c>
      <c r="C132" s="5" t="s">
        <v>491</v>
      </c>
      <c r="D132" s="5" t="s">
        <v>492</v>
      </c>
      <c r="E132" s="27"/>
      <c r="F132" s="5"/>
      <c r="G132" s="30">
        <v>2025.04</v>
      </c>
      <c r="K132" t="s">
        <v>263</v>
      </c>
      <c r="L132">
        <v>8</v>
      </c>
      <c r="M132" s="6" t="s">
        <v>253</v>
      </c>
      <c r="N132" s="6" t="s">
        <v>264</v>
      </c>
      <c r="O132" s="6"/>
      <c r="P132" s="6"/>
      <c r="Q132" s="6"/>
      <c r="R132" s="6">
        <v>5</v>
      </c>
      <c r="S132" s="6">
        <v>5</v>
      </c>
      <c r="T132" s="6">
        <v>5</v>
      </c>
      <c r="U132" s="6">
        <v>5</v>
      </c>
      <c r="V132" s="6">
        <v>5</v>
      </c>
      <c r="W132" s="6"/>
      <c r="X132" s="6"/>
      <c r="Y132" s="6"/>
      <c r="Z132" s="6"/>
      <c r="AA132" s="6"/>
    </row>
    <row r="133" spans="2:27">
      <c r="B133">
        <v>114</v>
      </c>
      <c r="C133" s="5" t="s">
        <v>493</v>
      </c>
      <c r="D133" s="5" t="s">
        <v>494</v>
      </c>
      <c r="E133" s="27"/>
      <c r="F133" s="5"/>
      <c r="G133" s="30">
        <v>2025.04</v>
      </c>
      <c r="K133" t="s">
        <v>265</v>
      </c>
      <c r="L133">
        <v>9</v>
      </c>
      <c r="M133" s="6" t="s">
        <v>279</v>
      </c>
      <c r="N133" s="6" t="s">
        <v>280</v>
      </c>
      <c r="O133" s="6"/>
      <c r="P133" s="6"/>
      <c r="Q133" s="6"/>
      <c r="R133" s="6">
        <v>4</v>
      </c>
      <c r="S133" s="6">
        <v>4</v>
      </c>
      <c r="T133" s="6">
        <v>4</v>
      </c>
      <c r="U133" s="6">
        <v>4</v>
      </c>
      <c r="V133" s="6">
        <v>4</v>
      </c>
      <c r="W133" s="6"/>
      <c r="X133" s="6"/>
      <c r="Y133" s="6"/>
      <c r="Z133" s="6"/>
      <c r="AA133" s="6"/>
    </row>
    <row r="134" spans="2:27">
      <c r="B134">
        <v>115</v>
      </c>
      <c r="C134" s="5" t="s">
        <v>495</v>
      </c>
      <c r="D134" s="5" t="s">
        <v>496</v>
      </c>
      <c r="E134" s="27"/>
      <c r="F134" s="5"/>
      <c r="G134" s="30">
        <v>2025.04</v>
      </c>
      <c r="K134" t="s">
        <v>259</v>
      </c>
      <c r="L134">
        <v>10</v>
      </c>
      <c r="M134" s="6" t="s">
        <v>279</v>
      </c>
      <c r="N134" s="6" t="s">
        <v>280</v>
      </c>
      <c r="O134" s="6"/>
      <c r="P134" s="6"/>
      <c r="Q134" s="6"/>
      <c r="R134" s="6">
        <v>4</v>
      </c>
      <c r="S134" s="6">
        <v>4</v>
      </c>
      <c r="T134" s="6">
        <v>4</v>
      </c>
      <c r="U134" s="6">
        <v>4</v>
      </c>
      <c r="V134" s="6">
        <v>4</v>
      </c>
      <c r="W134" s="6"/>
      <c r="X134" s="6"/>
      <c r="Y134" s="6"/>
      <c r="Z134" s="6"/>
      <c r="AA134" s="6"/>
    </row>
    <row r="135" spans="2:27">
      <c r="B135">
        <v>116</v>
      </c>
      <c r="C135" s="5" t="s">
        <v>497</v>
      </c>
      <c r="D135" s="5" t="s">
        <v>498</v>
      </c>
      <c r="E135" s="27"/>
      <c r="F135" s="5"/>
      <c r="G135" s="30">
        <v>2025.04</v>
      </c>
      <c r="K135" t="s">
        <v>272</v>
      </c>
      <c r="L135">
        <v>11</v>
      </c>
      <c r="M135" s="6" t="s">
        <v>279</v>
      </c>
      <c r="N135" s="6" t="s">
        <v>280</v>
      </c>
      <c r="O135" s="6"/>
      <c r="P135" s="6"/>
      <c r="Q135" s="6"/>
      <c r="R135" s="6">
        <v>4</v>
      </c>
      <c r="S135" s="6">
        <v>4</v>
      </c>
      <c r="T135" s="6">
        <v>4</v>
      </c>
      <c r="U135" s="6">
        <v>4</v>
      </c>
      <c r="V135" s="6">
        <v>4</v>
      </c>
      <c r="W135" s="6"/>
      <c r="X135" s="6"/>
      <c r="Y135" s="6"/>
      <c r="Z135" s="6"/>
      <c r="AA135" s="6"/>
    </row>
    <row r="136" spans="2:27">
      <c r="B136">
        <v>117</v>
      </c>
      <c r="C136" s="5" t="s">
        <v>499</v>
      </c>
      <c r="D136" s="5" t="s">
        <v>500</v>
      </c>
      <c r="E136" s="27"/>
      <c r="F136" s="5"/>
      <c r="G136" s="30">
        <v>2025.04</v>
      </c>
      <c r="K136" t="s">
        <v>263</v>
      </c>
      <c r="L136">
        <v>12</v>
      </c>
      <c r="M136" s="6" t="s">
        <v>279</v>
      </c>
      <c r="N136" s="6" t="s">
        <v>280</v>
      </c>
      <c r="O136" s="6"/>
      <c r="P136" s="6"/>
      <c r="Q136" s="6"/>
      <c r="R136" s="6">
        <v>5</v>
      </c>
      <c r="S136" s="6">
        <v>5</v>
      </c>
      <c r="T136" s="6">
        <v>5</v>
      </c>
      <c r="U136" s="6">
        <v>5</v>
      </c>
      <c r="V136" s="6">
        <v>5</v>
      </c>
      <c r="W136" s="6"/>
      <c r="X136" s="6"/>
      <c r="Y136" s="6"/>
      <c r="Z136" s="6"/>
      <c r="AA136" s="6"/>
    </row>
    <row r="137" spans="2:27">
      <c r="B137">
        <v>118</v>
      </c>
      <c r="C137" s="5" t="s">
        <v>501</v>
      </c>
      <c r="D137" s="5" t="s">
        <v>502</v>
      </c>
      <c r="E137" s="27"/>
      <c r="F137" s="5"/>
      <c r="G137" s="30">
        <v>2025.04</v>
      </c>
      <c r="K137" t="s">
        <v>265</v>
      </c>
      <c r="L137">
        <v>13</v>
      </c>
      <c r="M137" s="6" t="s">
        <v>279</v>
      </c>
      <c r="N137" s="6" t="s">
        <v>293</v>
      </c>
      <c r="O137" s="6"/>
      <c r="P137" s="6"/>
      <c r="Q137" s="6"/>
      <c r="R137" s="6">
        <v>4</v>
      </c>
      <c r="S137" s="6">
        <v>4</v>
      </c>
      <c r="T137" s="6">
        <v>4</v>
      </c>
      <c r="U137" s="6">
        <v>4</v>
      </c>
      <c r="V137" s="6">
        <v>4</v>
      </c>
      <c r="W137" s="6"/>
      <c r="X137" s="6"/>
      <c r="Y137" s="6"/>
      <c r="Z137" s="6"/>
      <c r="AA137" s="6"/>
    </row>
    <row r="138" spans="2:27">
      <c r="B138">
        <v>119</v>
      </c>
      <c r="C138" s="5" t="s">
        <v>503</v>
      </c>
      <c r="D138" s="5" t="s">
        <v>504</v>
      </c>
      <c r="E138" s="27"/>
      <c r="F138" s="5"/>
      <c r="G138" s="30">
        <v>2025.04</v>
      </c>
      <c r="K138" t="s">
        <v>259</v>
      </c>
      <c r="L138">
        <v>14</v>
      </c>
      <c r="M138" s="6" t="s">
        <v>279</v>
      </c>
      <c r="N138" s="6" t="s">
        <v>293</v>
      </c>
      <c r="O138" s="6"/>
      <c r="P138" s="6"/>
      <c r="Q138" s="6"/>
      <c r="R138" s="6">
        <v>4</v>
      </c>
      <c r="S138" s="6">
        <v>4</v>
      </c>
      <c r="T138" s="6">
        <v>4</v>
      </c>
      <c r="U138" s="6">
        <v>4</v>
      </c>
      <c r="V138" s="6">
        <v>4</v>
      </c>
      <c r="W138" s="6"/>
      <c r="X138" s="6"/>
      <c r="Y138" s="6"/>
      <c r="Z138" s="6"/>
      <c r="AA138" s="6"/>
    </row>
    <row r="139" spans="2:27">
      <c r="B139">
        <v>120</v>
      </c>
      <c r="C139" s="5" t="s">
        <v>505</v>
      </c>
      <c r="D139" s="5" t="s">
        <v>506</v>
      </c>
      <c r="E139" s="27"/>
      <c r="F139" s="5"/>
      <c r="G139" s="30">
        <v>2025.04</v>
      </c>
      <c r="K139" t="s">
        <v>272</v>
      </c>
      <c r="L139">
        <v>15</v>
      </c>
      <c r="M139" s="6" t="s">
        <v>279</v>
      </c>
      <c r="N139" s="6" t="s">
        <v>293</v>
      </c>
      <c r="O139" s="6"/>
      <c r="P139" s="6"/>
      <c r="Q139" s="6"/>
      <c r="R139" s="6">
        <v>4</v>
      </c>
      <c r="S139" s="6">
        <v>4</v>
      </c>
      <c r="T139" s="6">
        <v>4</v>
      </c>
      <c r="U139" s="6">
        <v>4</v>
      </c>
      <c r="V139" s="6">
        <v>4</v>
      </c>
      <c r="W139" s="6"/>
      <c r="X139" s="6"/>
      <c r="Y139" s="6"/>
      <c r="Z139" s="6"/>
      <c r="AA139" s="6"/>
    </row>
    <row r="140" spans="2:27">
      <c r="B140" t="str">
        <v/>
      </c>
      <c r="C140" s="5"/>
      <c r="D140" s="5"/>
      <c r="E140" s="27"/>
      <c r="F140" s="5"/>
      <c r="G140" s="30">
        <v>2025.04</v>
      </c>
      <c r="K140" t="s">
        <v>263</v>
      </c>
      <c r="L140">
        <v>16</v>
      </c>
      <c r="M140" s="6" t="s">
        <v>279</v>
      </c>
      <c r="N140" s="6" t="s">
        <v>293</v>
      </c>
      <c r="O140" s="6"/>
      <c r="P140" s="6"/>
      <c r="Q140" s="6"/>
      <c r="R140" s="6">
        <v>5</v>
      </c>
      <c r="S140" s="6">
        <v>5</v>
      </c>
      <c r="T140" s="6">
        <v>5</v>
      </c>
      <c r="U140" s="6">
        <v>5</v>
      </c>
      <c r="V140" s="6">
        <v>5</v>
      </c>
      <c r="W140" s="6"/>
      <c r="X140" s="6"/>
      <c r="Y140" s="6"/>
      <c r="Z140" s="6"/>
      <c r="AA140" s="6"/>
    </row>
    <row r="141" spans="2:27">
      <c r="B141" t="str">
        <v/>
      </c>
      <c r="C141" s="5"/>
      <c r="D141" s="5"/>
      <c r="E141" s="27"/>
      <c r="F141" s="5"/>
      <c r="G141" s="30">
        <v>2025.04</v>
      </c>
      <c r="K141" t="s">
        <v>265</v>
      </c>
      <c r="L141">
        <v>17</v>
      </c>
      <c r="M141" s="6" t="s">
        <v>306</v>
      </c>
      <c r="N141" s="6" t="s">
        <v>306</v>
      </c>
      <c r="O141" s="6"/>
      <c r="P141" s="6"/>
      <c r="Q141" s="6"/>
      <c r="R141" s="6">
        <v>4</v>
      </c>
      <c r="S141" s="6">
        <v>4</v>
      </c>
      <c r="T141" s="6">
        <v>4</v>
      </c>
      <c r="U141" s="6">
        <v>4</v>
      </c>
      <c r="V141" s="6">
        <v>4</v>
      </c>
      <c r="W141" s="6"/>
      <c r="X141" s="6"/>
      <c r="Y141" s="6"/>
      <c r="Z141" s="6"/>
      <c r="AA141" s="6"/>
    </row>
    <row r="142" spans="2:27">
      <c r="B142">
        <v>121</v>
      </c>
      <c r="C142" s="5" t="s">
        <v>507</v>
      </c>
      <c r="D142" s="5" t="s">
        <v>508</v>
      </c>
      <c r="E142" s="27"/>
      <c r="F142" s="5"/>
      <c r="G142" s="30">
        <v>2025.04</v>
      </c>
      <c r="K142" t="s">
        <v>259</v>
      </c>
      <c r="L142">
        <v>18</v>
      </c>
      <c r="M142" s="6" t="s">
        <v>306</v>
      </c>
      <c r="N142" s="6" t="s">
        <v>306</v>
      </c>
      <c r="O142" s="6"/>
      <c r="P142" s="6"/>
      <c r="Q142" s="6"/>
      <c r="R142" s="6">
        <v>4</v>
      </c>
      <c r="S142" s="6">
        <v>4</v>
      </c>
      <c r="T142" s="6">
        <v>4</v>
      </c>
      <c r="U142" s="6">
        <v>4</v>
      </c>
      <c r="V142" s="6">
        <v>4</v>
      </c>
      <c r="W142" s="6"/>
      <c r="X142" s="6"/>
      <c r="Y142" s="6"/>
      <c r="Z142" s="6"/>
      <c r="AA142" s="6"/>
    </row>
    <row r="143" spans="2:27">
      <c r="B143">
        <v>122</v>
      </c>
      <c r="C143" s="5" t="s">
        <v>509</v>
      </c>
      <c r="D143" s="5" t="s">
        <v>510</v>
      </c>
      <c r="E143" s="27"/>
      <c r="F143" s="5"/>
      <c r="G143" s="30">
        <v>2025.04</v>
      </c>
      <c r="K143" t="s">
        <v>272</v>
      </c>
      <c r="L143">
        <v>19</v>
      </c>
      <c r="M143" s="6" t="s">
        <v>306</v>
      </c>
      <c r="N143" s="6" t="s">
        <v>306</v>
      </c>
      <c r="O143" s="6"/>
      <c r="P143" s="6"/>
      <c r="Q143" s="6"/>
      <c r="R143" s="6">
        <v>4</v>
      </c>
      <c r="S143" s="6">
        <v>4</v>
      </c>
      <c r="T143" s="6">
        <v>4</v>
      </c>
      <c r="U143" s="6">
        <v>4</v>
      </c>
      <c r="V143" s="6">
        <v>4</v>
      </c>
      <c r="W143" s="6"/>
      <c r="X143" s="6"/>
      <c r="Y143" s="6"/>
      <c r="Z143" s="6"/>
      <c r="AA143" s="6"/>
    </row>
    <row r="144" spans="2:27">
      <c r="B144">
        <v>123</v>
      </c>
      <c r="C144" s="5" t="s">
        <v>511</v>
      </c>
      <c r="D144" s="5" t="s">
        <v>512</v>
      </c>
      <c r="E144" s="27"/>
      <c r="F144" s="5"/>
      <c r="G144" s="30">
        <v>2025.04</v>
      </c>
      <c r="K144" t="s">
        <v>263</v>
      </c>
      <c r="L144">
        <v>20</v>
      </c>
      <c r="M144" s="6" t="s">
        <v>306</v>
      </c>
      <c r="N144" s="6" t="s">
        <v>306</v>
      </c>
      <c r="O144" s="6"/>
      <c r="P144" s="6"/>
      <c r="Q144" s="6"/>
      <c r="R144" s="6">
        <v>5</v>
      </c>
      <c r="S144" s="6">
        <v>5</v>
      </c>
      <c r="T144" s="6">
        <v>5</v>
      </c>
      <c r="U144" s="6">
        <v>5</v>
      </c>
      <c r="V144" s="6">
        <v>5</v>
      </c>
      <c r="W144" s="6"/>
      <c r="X144" s="6"/>
      <c r="Y144" s="6"/>
      <c r="Z144" s="6"/>
      <c r="AA144" s="6"/>
    </row>
    <row r="145" spans="2:27">
      <c r="B145">
        <v>124</v>
      </c>
      <c r="C145" s="5" t="s">
        <v>513</v>
      </c>
      <c r="D145" s="5" t="s">
        <v>514</v>
      </c>
      <c r="E145" s="27"/>
      <c r="F145" s="5"/>
      <c r="G145" s="30">
        <v>2025.04</v>
      </c>
      <c r="K145" t="s">
        <v>265</v>
      </c>
      <c r="L145">
        <v>21</v>
      </c>
      <c r="M145" s="6" t="s">
        <v>306</v>
      </c>
      <c r="N145" s="6" t="s">
        <v>315</v>
      </c>
      <c r="O145" s="6"/>
      <c r="P145" s="6"/>
      <c r="Q145" s="6"/>
      <c r="R145" s="6">
        <v>4</v>
      </c>
      <c r="S145" s="6">
        <v>4</v>
      </c>
      <c r="T145" s="6">
        <v>4</v>
      </c>
      <c r="U145" s="6">
        <v>4</v>
      </c>
      <c r="V145" s="6">
        <v>4</v>
      </c>
      <c r="W145" s="6"/>
      <c r="X145" s="6"/>
      <c r="Y145" s="6"/>
      <c r="Z145" s="6"/>
      <c r="AA145" s="6"/>
    </row>
    <row r="146" spans="2:27">
      <c r="B146">
        <v>125</v>
      </c>
      <c r="C146" s="5" t="s">
        <v>515</v>
      </c>
      <c r="D146" s="5" t="s">
        <v>516</v>
      </c>
      <c r="E146" s="27"/>
      <c r="F146" s="5"/>
      <c r="G146" s="30">
        <v>2025.04</v>
      </c>
      <c r="K146" t="s">
        <v>259</v>
      </c>
      <c r="L146">
        <v>22</v>
      </c>
      <c r="M146" s="6" t="s">
        <v>306</v>
      </c>
      <c r="N146" s="6" t="s">
        <v>315</v>
      </c>
      <c r="O146" s="6"/>
      <c r="P146" s="6"/>
      <c r="Q146" s="6"/>
      <c r="R146" s="6">
        <v>4</v>
      </c>
      <c r="S146" s="6">
        <v>4</v>
      </c>
      <c r="T146" s="6">
        <v>4</v>
      </c>
      <c r="U146" s="6">
        <v>4</v>
      </c>
      <c r="V146" s="6">
        <v>4</v>
      </c>
      <c r="W146" s="6"/>
      <c r="X146" s="6"/>
      <c r="Y146" s="6"/>
      <c r="Z146" s="6"/>
      <c r="AA146" s="6"/>
    </row>
    <row r="147" spans="2:27">
      <c r="B147">
        <v>126</v>
      </c>
      <c r="C147" s="5" t="s">
        <v>517</v>
      </c>
      <c r="D147" s="5" t="s">
        <v>518</v>
      </c>
      <c r="E147" s="27"/>
      <c r="F147" s="5"/>
      <c r="G147" s="30">
        <v>2025.04</v>
      </c>
      <c r="K147" t="s">
        <v>272</v>
      </c>
      <c r="L147">
        <v>23</v>
      </c>
      <c r="M147" s="6" t="s">
        <v>306</v>
      </c>
      <c r="N147" s="6" t="s">
        <v>315</v>
      </c>
      <c r="O147" s="6"/>
      <c r="P147" s="6"/>
      <c r="Q147" s="6"/>
      <c r="R147" s="6">
        <v>4</v>
      </c>
      <c r="S147" s="6">
        <v>4</v>
      </c>
      <c r="T147" s="6">
        <v>4</v>
      </c>
      <c r="U147" s="6">
        <v>4</v>
      </c>
      <c r="V147" s="6">
        <v>4</v>
      </c>
      <c r="W147" s="6"/>
      <c r="X147" s="6"/>
      <c r="Y147" s="6"/>
      <c r="Z147" s="6"/>
      <c r="AA147" s="6"/>
    </row>
    <row r="148" spans="2:27">
      <c r="B148">
        <v>127</v>
      </c>
      <c r="C148" s="5" t="s">
        <v>519</v>
      </c>
      <c r="D148" s="5" t="s">
        <v>520</v>
      </c>
      <c r="E148" s="27"/>
      <c r="F148" s="5"/>
      <c r="G148" s="30">
        <v>2025.04</v>
      </c>
      <c r="K148" t="s">
        <v>263</v>
      </c>
      <c r="L148">
        <v>24</v>
      </c>
      <c r="M148" s="6" t="s">
        <v>306</v>
      </c>
      <c r="N148" s="6" t="s">
        <v>315</v>
      </c>
      <c r="O148" s="6"/>
      <c r="P148" s="6"/>
      <c r="Q148" s="6"/>
      <c r="R148" s="6">
        <v>5</v>
      </c>
      <c r="S148" s="6">
        <v>5</v>
      </c>
      <c r="T148" s="6">
        <v>5</v>
      </c>
      <c r="U148" s="6">
        <v>5</v>
      </c>
      <c r="V148" s="6">
        <v>5</v>
      </c>
      <c r="W148" s="6"/>
      <c r="X148" s="6"/>
      <c r="Y148" s="6"/>
      <c r="Z148" s="6"/>
      <c r="AA148" s="6"/>
    </row>
    <row r="149" spans="2:27">
      <c r="B149">
        <v>128</v>
      </c>
      <c r="C149" s="5" t="s">
        <v>521</v>
      </c>
      <c r="D149" s="5" t="s">
        <v>522</v>
      </c>
      <c r="E149" s="27"/>
      <c r="F149" s="5"/>
      <c r="G149" s="30">
        <v>2025.04</v>
      </c>
      <c r="K149" t="s">
        <v>265</v>
      </c>
      <c r="L149">
        <v>25</v>
      </c>
      <c r="M149" s="6" t="s">
        <v>328</v>
      </c>
      <c r="N149" s="6" t="s">
        <v>329</v>
      </c>
      <c r="O149" s="6"/>
      <c r="P149" s="6"/>
      <c r="Q149" s="6"/>
      <c r="R149" s="6">
        <v>4</v>
      </c>
      <c r="S149" s="6">
        <v>4</v>
      </c>
      <c r="T149" s="6">
        <v>4</v>
      </c>
      <c r="U149" s="6">
        <v>4</v>
      </c>
      <c r="V149" s="6">
        <v>4</v>
      </c>
      <c r="W149" s="6"/>
      <c r="X149" s="6"/>
      <c r="Y149" s="6"/>
      <c r="Z149" s="6"/>
      <c r="AA149" s="6"/>
    </row>
    <row r="150" spans="2:27">
      <c r="B150">
        <v>129</v>
      </c>
      <c r="C150" s="5" t="s">
        <v>523</v>
      </c>
      <c r="D150" s="5" t="s">
        <v>524</v>
      </c>
      <c r="E150" s="27"/>
      <c r="F150" s="5"/>
      <c r="G150" s="30">
        <v>2025.04</v>
      </c>
      <c r="K150" t="s">
        <v>259</v>
      </c>
      <c r="L150">
        <v>26</v>
      </c>
      <c r="M150" s="6" t="s">
        <v>328</v>
      </c>
      <c r="N150" s="6" t="s">
        <v>329</v>
      </c>
      <c r="O150" s="6"/>
      <c r="P150" s="6"/>
      <c r="Q150" s="6"/>
      <c r="R150" s="6">
        <v>4</v>
      </c>
      <c r="S150" s="6">
        <v>4</v>
      </c>
      <c r="T150" s="6">
        <v>4</v>
      </c>
      <c r="U150" s="6">
        <v>4</v>
      </c>
      <c r="V150" s="6">
        <v>4</v>
      </c>
      <c r="W150" s="6"/>
      <c r="X150" s="6"/>
      <c r="Y150" s="6"/>
      <c r="Z150" s="6"/>
      <c r="AA150" s="6"/>
    </row>
    <row r="151" spans="2:27">
      <c r="B151">
        <v>130</v>
      </c>
      <c r="C151" s="5" t="s">
        <v>525</v>
      </c>
      <c r="D151" s="5" t="s">
        <v>526</v>
      </c>
      <c r="E151" s="27"/>
      <c r="F151" s="5"/>
      <c r="G151" s="30">
        <v>2025.04</v>
      </c>
      <c r="K151" t="s">
        <v>272</v>
      </c>
      <c r="L151">
        <v>27</v>
      </c>
      <c r="M151" s="6" t="s">
        <v>328</v>
      </c>
      <c r="N151" s="6" t="s">
        <v>329</v>
      </c>
      <c r="O151" s="6"/>
      <c r="P151" s="6"/>
      <c r="Q151" s="6"/>
      <c r="R151" s="6">
        <v>4</v>
      </c>
      <c r="S151" s="6">
        <v>4</v>
      </c>
      <c r="T151" s="6">
        <v>4</v>
      </c>
      <c r="U151" s="6">
        <v>4</v>
      </c>
      <c r="V151" s="6">
        <v>4</v>
      </c>
      <c r="W151" s="6"/>
      <c r="X151" s="6"/>
      <c r="Y151" s="6"/>
      <c r="Z151" s="6"/>
      <c r="AA151" s="6"/>
    </row>
    <row r="152" spans="2:27">
      <c r="B152">
        <v>131</v>
      </c>
      <c r="C152" s="5" t="s">
        <v>527</v>
      </c>
      <c r="D152" s="5" t="s">
        <v>528</v>
      </c>
      <c r="E152" s="27"/>
      <c r="F152" s="5"/>
      <c r="G152" s="30">
        <v>2025.04</v>
      </c>
      <c r="K152" t="s">
        <v>265</v>
      </c>
      <c r="L152">
        <v>28</v>
      </c>
      <c r="M152" s="6" t="s">
        <v>339</v>
      </c>
      <c r="N152" s="6" t="s">
        <v>339</v>
      </c>
      <c r="O152" s="6"/>
      <c r="P152" s="6"/>
      <c r="Q152" s="6"/>
      <c r="R152" s="6">
        <v>4</v>
      </c>
      <c r="S152" s="6">
        <v>4</v>
      </c>
      <c r="T152" s="6">
        <v>4</v>
      </c>
      <c r="U152" s="6">
        <v>4</v>
      </c>
      <c r="V152" s="6">
        <v>4</v>
      </c>
      <c r="W152" s="6"/>
      <c r="X152" s="6"/>
      <c r="Y152" s="6"/>
      <c r="Z152" s="6"/>
      <c r="AA152" s="6"/>
    </row>
    <row r="153" spans="2:27">
      <c r="B153">
        <v>132</v>
      </c>
      <c r="C153" s="5" t="s">
        <v>529</v>
      </c>
      <c r="D153" s="5" t="s">
        <v>530</v>
      </c>
      <c r="E153" s="27"/>
      <c r="F153" s="5"/>
      <c r="G153" s="30">
        <v>2025.04</v>
      </c>
      <c r="K153" t="s">
        <v>259</v>
      </c>
      <c r="L153">
        <v>29</v>
      </c>
      <c r="M153" s="6" t="s">
        <v>339</v>
      </c>
      <c r="N153" s="6" t="s">
        <v>339</v>
      </c>
      <c r="O153" s="6"/>
      <c r="P153" s="6"/>
      <c r="Q153" s="6"/>
      <c r="R153" s="6">
        <v>4</v>
      </c>
      <c r="S153" s="6">
        <v>4</v>
      </c>
      <c r="T153" s="6">
        <v>4</v>
      </c>
      <c r="U153" s="6">
        <v>4</v>
      </c>
      <c r="V153" s="6">
        <v>4</v>
      </c>
      <c r="W153" s="6"/>
      <c r="X153" s="6"/>
      <c r="Y153" s="6"/>
      <c r="Z153" s="6"/>
      <c r="AA153" s="6"/>
    </row>
    <row r="154" spans="2:27">
      <c r="B154" t="str">
        <v/>
      </c>
      <c r="C154" s="5"/>
      <c r="D154" s="5"/>
      <c r="E154" s="27"/>
      <c r="F154" s="5"/>
      <c r="G154" s="30">
        <v>2025.04</v>
      </c>
      <c r="K154" t="s">
        <v>265</v>
      </c>
      <c r="L154">
        <v>30</v>
      </c>
      <c r="M154" s="6" t="s">
        <v>346</v>
      </c>
      <c r="N154" s="6" t="s">
        <v>346</v>
      </c>
      <c r="O154" s="6"/>
      <c r="P154" s="6"/>
      <c r="Q154" s="6"/>
      <c r="R154" s="6">
        <v>4</v>
      </c>
      <c r="S154" s="6">
        <v>4</v>
      </c>
      <c r="T154" s="6">
        <v>4</v>
      </c>
      <c r="U154" s="6">
        <v>4</v>
      </c>
      <c r="V154" s="6">
        <v>4</v>
      </c>
      <c r="W154" s="6"/>
      <c r="X154" s="6"/>
      <c r="Y154" s="6"/>
      <c r="Z154" s="6"/>
      <c r="AA154" s="6"/>
    </row>
    <row r="155" spans="2:27">
      <c r="B155" t="str">
        <v/>
      </c>
      <c r="C155" s="5"/>
      <c r="D155" s="5"/>
      <c r="E155" s="27"/>
      <c r="F155" s="5"/>
      <c r="G155" s="30">
        <v>2025.04</v>
      </c>
      <c r="K155" t="s">
        <v>259</v>
      </c>
      <c r="L155">
        <v>31</v>
      </c>
      <c r="M155" s="6" t="s">
        <v>346</v>
      </c>
      <c r="N155" s="6" t="s">
        <v>346</v>
      </c>
      <c r="O155" s="6"/>
      <c r="P155" s="6"/>
      <c r="Q155" s="6"/>
      <c r="R155" s="6">
        <v>4</v>
      </c>
      <c r="S155" s="6">
        <v>4</v>
      </c>
      <c r="T155" s="6">
        <v>4</v>
      </c>
      <c r="U155" s="6">
        <v>4</v>
      </c>
      <c r="V155" s="6">
        <v>4</v>
      </c>
      <c r="W155" s="6"/>
      <c r="X155" s="6"/>
      <c r="Y155" s="6"/>
      <c r="Z155" s="6"/>
      <c r="AA155" s="6"/>
    </row>
    <row r="156" spans="2:27">
      <c r="B156">
        <v>133</v>
      </c>
      <c r="C156" s="5" t="s">
        <v>531</v>
      </c>
      <c r="D156" s="5" t="s">
        <v>532</v>
      </c>
      <c r="E156" s="27"/>
      <c r="F156" s="5"/>
      <c r="G156" s="30">
        <v>2025.04</v>
      </c>
      <c r="K156" t="s">
        <v>272</v>
      </c>
      <c r="L156">
        <v>32</v>
      </c>
      <c r="M156" s="6" t="s">
        <v>346</v>
      </c>
      <c r="N156" s="6" t="s">
        <v>346</v>
      </c>
      <c r="O156" s="6"/>
      <c r="P156" s="6"/>
      <c r="Q156" s="6"/>
      <c r="R156" s="6">
        <v>4</v>
      </c>
      <c r="S156" s="6">
        <v>4</v>
      </c>
      <c r="T156" s="6">
        <v>4</v>
      </c>
      <c r="U156" s="6">
        <v>4</v>
      </c>
      <c r="V156" s="6">
        <v>4</v>
      </c>
      <c r="W156" s="6"/>
      <c r="X156" s="6"/>
      <c r="Y156" s="6"/>
      <c r="Z156" s="6"/>
      <c r="AA156" s="6"/>
    </row>
    <row r="157" spans="2:27">
      <c r="B157">
        <v>134</v>
      </c>
      <c r="C157" s="5" t="s">
        <v>533</v>
      </c>
      <c r="D157" s="5" t="s">
        <v>534</v>
      </c>
      <c r="E157" s="27"/>
      <c r="F157" s="5"/>
      <c r="G157" s="30">
        <v>2025.04</v>
      </c>
      <c r="K157" t="s">
        <v>265</v>
      </c>
      <c r="L157">
        <v>33</v>
      </c>
      <c r="M157" s="6" t="s">
        <v>352</v>
      </c>
      <c r="N157" s="6" t="s">
        <v>352</v>
      </c>
      <c r="O157" s="6"/>
      <c r="P157" s="6"/>
      <c r="Q157" s="6"/>
      <c r="R157" s="6">
        <v>4</v>
      </c>
      <c r="S157" s="6">
        <v>4</v>
      </c>
      <c r="T157" s="6">
        <v>4</v>
      </c>
      <c r="U157" s="6">
        <v>4</v>
      </c>
      <c r="V157" s="6">
        <v>4</v>
      </c>
      <c r="W157" s="6"/>
      <c r="X157" s="6"/>
      <c r="Y157" s="6"/>
      <c r="Z157" s="6"/>
      <c r="AA157" s="6"/>
    </row>
    <row r="158" spans="2:27">
      <c r="B158">
        <v>135</v>
      </c>
      <c r="C158" s="5" t="s">
        <v>535</v>
      </c>
      <c r="D158" s="5" t="s">
        <v>536</v>
      </c>
      <c r="E158" s="27"/>
      <c r="F158" s="5"/>
      <c r="G158" s="30">
        <v>2025.04</v>
      </c>
      <c r="K158" t="s">
        <v>259</v>
      </c>
      <c r="L158">
        <v>34</v>
      </c>
      <c r="M158" s="6" t="s">
        <v>352</v>
      </c>
      <c r="N158" s="6" t="s">
        <v>352</v>
      </c>
      <c r="O158" s="6"/>
      <c r="P158" s="6"/>
      <c r="Q158" s="6"/>
      <c r="R158" s="6">
        <v>4</v>
      </c>
      <c r="S158" s="6">
        <v>4</v>
      </c>
      <c r="T158" s="6">
        <v>4</v>
      </c>
      <c r="U158" s="6">
        <v>4</v>
      </c>
      <c r="V158" s="6">
        <v>4</v>
      </c>
      <c r="W158" s="6"/>
      <c r="X158" s="6"/>
      <c r="Y158" s="6"/>
      <c r="Z158" s="6"/>
      <c r="AA158" s="6"/>
    </row>
    <row r="159" spans="2:27">
      <c r="B159">
        <v>136</v>
      </c>
      <c r="C159" s="5" t="s">
        <v>537</v>
      </c>
      <c r="D159" s="5" t="s">
        <v>538</v>
      </c>
      <c r="E159" s="27"/>
      <c r="F159" s="5"/>
      <c r="G159" s="30">
        <v>2025.04</v>
      </c>
      <c r="K159" t="s">
        <v>272</v>
      </c>
      <c r="L159">
        <v>35</v>
      </c>
      <c r="M159" s="6" t="s">
        <v>352</v>
      </c>
      <c r="N159" s="6" t="s">
        <v>352</v>
      </c>
      <c r="O159" s="6"/>
      <c r="P159" s="6"/>
      <c r="Q159" s="6"/>
      <c r="R159" s="6">
        <v>4</v>
      </c>
      <c r="S159" s="6">
        <v>4</v>
      </c>
      <c r="T159" s="6">
        <v>4</v>
      </c>
      <c r="U159" s="6">
        <v>4</v>
      </c>
      <c r="V159" s="6">
        <v>4</v>
      </c>
      <c r="W159" s="6"/>
      <c r="X159" s="6"/>
      <c r="Y159" s="6"/>
      <c r="Z159" s="6"/>
      <c r="AA159" s="6"/>
    </row>
    <row r="160" spans="2:27">
      <c r="B160">
        <v>137</v>
      </c>
      <c r="C160" s="5" t="s">
        <v>539</v>
      </c>
      <c r="D160" s="5" t="s">
        <v>540</v>
      </c>
      <c r="E160" s="27"/>
      <c r="F160" s="5"/>
      <c r="G160" s="30">
        <v>2025.04</v>
      </c>
      <c r="K160" t="s">
        <v>263</v>
      </c>
      <c r="L160">
        <v>36</v>
      </c>
      <c r="M160" s="6" t="s">
        <v>352</v>
      </c>
      <c r="N160" s="6" t="s">
        <v>352</v>
      </c>
      <c r="O160" s="6"/>
      <c r="P160" s="6"/>
      <c r="Q160" s="6"/>
      <c r="R160" s="6">
        <v>4</v>
      </c>
      <c r="S160" s="6">
        <v>4</v>
      </c>
      <c r="T160" s="6">
        <v>4</v>
      </c>
      <c r="U160" s="6">
        <v>4</v>
      </c>
      <c r="V160" s="6">
        <v>4</v>
      </c>
      <c r="W160" s="6"/>
      <c r="X160" s="6"/>
      <c r="Y160" s="6"/>
      <c r="Z160" s="6"/>
      <c r="AA160" s="6"/>
    </row>
    <row r="161" spans="2:27">
      <c r="B161">
        <v>138</v>
      </c>
      <c r="C161" s="5" t="s">
        <v>541</v>
      </c>
      <c r="D161" s="5" t="s">
        <v>542</v>
      </c>
      <c r="E161" s="27"/>
      <c r="F161" s="5"/>
      <c r="G161" s="30">
        <v>2025.04</v>
      </c>
      <c r="K161" t="s">
        <v>365</v>
      </c>
      <c r="L161">
        <v>37</v>
      </c>
      <c r="M161" s="6" t="s">
        <v>352</v>
      </c>
      <c r="N161" s="6" t="s">
        <v>352</v>
      </c>
      <c r="O161" s="6"/>
      <c r="P161" s="6"/>
      <c r="Q161" s="6"/>
      <c r="R161" s="6">
        <v>7</v>
      </c>
      <c r="S161" s="6">
        <v>7</v>
      </c>
      <c r="T161" s="6">
        <v>7</v>
      </c>
      <c r="U161" s="6">
        <v>7</v>
      </c>
      <c r="V161" s="6">
        <v>7</v>
      </c>
      <c r="W161" s="6"/>
      <c r="X161" s="6"/>
      <c r="Y161" s="6"/>
      <c r="Z161" s="6"/>
      <c r="AA161" s="6"/>
    </row>
    <row r="162" spans="2:27">
      <c r="B162">
        <v>139</v>
      </c>
      <c r="C162" s="5" t="s">
        <v>543</v>
      </c>
      <c r="D162" s="5" t="s">
        <v>544</v>
      </c>
      <c r="E162" s="27"/>
      <c r="F162" s="5"/>
      <c r="G162" s="30">
        <v>2025.04</v>
      </c>
      <c r="K162" t="s">
        <v>369</v>
      </c>
      <c r="L162">
        <v>38</v>
      </c>
      <c r="M162" s="6" t="s">
        <v>352</v>
      </c>
      <c r="N162" s="6" t="s">
        <v>352</v>
      </c>
      <c r="O162" s="6"/>
      <c r="P162" s="6"/>
      <c r="Q162" s="6"/>
      <c r="R162" s="6">
        <v>7</v>
      </c>
      <c r="S162" s="6">
        <v>7</v>
      </c>
      <c r="T162" s="6">
        <v>7</v>
      </c>
      <c r="U162" s="6">
        <v>7</v>
      </c>
      <c r="V162" s="6">
        <v>7</v>
      </c>
      <c r="W162" s="6"/>
      <c r="X162" s="6"/>
      <c r="Y162" s="6"/>
      <c r="Z162" s="6"/>
      <c r="AA162" s="6"/>
    </row>
    <row r="163" spans="2:27">
      <c r="B163">
        <v>140</v>
      </c>
      <c r="C163" s="5" t="s">
        <v>545</v>
      </c>
      <c r="D163" s="5" t="s">
        <v>546</v>
      </c>
      <c r="E163" s="27"/>
      <c r="F163" s="5"/>
      <c r="G163" s="30">
        <v>2025.04</v>
      </c>
      <c r="K163" t="s">
        <v>373</v>
      </c>
      <c r="L163">
        <v>39</v>
      </c>
      <c r="M163" s="6" t="s">
        <v>352</v>
      </c>
      <c r="N163" s="6" t="s">
        <v>352</v>
      </c>
      <c r="O163" s="6"/>
      <c r="P163" s="6"/>
      <c r="Q163" s="6"/>
      <c r="R163" s="6">
        <v>7</v>
      </c>
      <c r="S163" s="6">
        <v>8</v>
      </c>
      <c r="T163" s="6">
        <v>7</v>
      </c>
      <c r="U163" s="6">
        <v>7</v>
      </c>
      <c r="V163" s="6">
        <v>7</v>
      </c>
      <c r="W163" s="6"/>
      <c r="X163" s="6"/>
      <c r="Y163" s="6"/>
      <c r="Z163" s="6"/>
      <c r="AA163" s="6"/>
    </row>
    <row r="164" spans="2:27">
      <c r="B164">
        <v>141</v>
      </c>
      <c r="C164" t="s">
        <v>547</v>
      </c>
      <c r="D164" t="s">
        <v>548</v>
      </c>
      <c r="E164" s="27"/>
      <c r="F164" s="5"/>
    </row>
    <row r="165" spans="2:27">
      <c r="B165">
        <v>142</v>
      </c>
      <c r="C165" t="s">
        <v>549</v>
      </c>
      <c r="D165" t="s">
        <v>550</v>
      </c>
      <c r="E165" s="27"/>
      <c r="F165" s="5"/>
    </row>
    <row r="166" spans="2:27">
      <c r="B166">
        <v>143</v>
      </c>
      <c r="C166" s="5" t="s">
        <v>551</v>
      </c>
      <c r="D166" s="5" t="s">
        <v>552</v>
      </c>
      <c r="E166" s="27"/>
      <c r="F166" s="5"/>
      <c r="G166" s="31"/>
      <c r="H166" s="8"/>
      <c r="I166" s="8"/>
    </row>
    <row r="167" spans="2:27">
      <c r="B167">
        <v>144</v>
      </c>
      <c r="C167" s="5" t="s">
        <v>553</v>
      </c>
      <c r="D167" s="5" t="s">
        <v>554</v>
      </c>
      <c r="E167" s="27"/>
      <c r="F167" s="5"/>
      <c r="G167" s="31"/>
      <c r="H167" s="8"/>
      <c r="I167" s="8"/>
    </row>
    <row r="168" spans="2:27">
      <c r="B168">
        <v>145</v>
      </c>
      <c r="C168" s="5" t="s">
        <v>555</v>
      </c>
      <c r="D168" s="5" t="s">
        <v>556</v>
      </c>
      <c r="E168" s="27"/>
      <c r="F168" s="5"/>
      <c r="G168" s="31"/>
      <c r="H168" s="8"/>
      <c r="I168" s="8"/>
    </row>
    <row r="169" spans="2:27">
      <c r="B169" t="str">
        <v/>
      </c>
      <c r="C169" s="5"/>
      <c r="D169" s="5"/>
      <c r="E169" s="27"/>
      <c r="F169" s="5"/>
      <c r="G169" s="31"/>
      <c r="H169" s="8"/>
      <c r="I169" s="8"/>
    </row>
    <row r="170" spans="2:27">
      <c r="B170" t="str">
        <v/>
      </c>
      <c r="C170" s="5"/>
      <c r="D170" s="5"/>
      <c r="E170" s="27"/>
      <c r="F170" s="5"/>
      <c r="G170" s="31"/>
      <c r="H170" s="8"/>
      <c r="I170" s="8"/>
    </row>
    <row r="171" spans="2:27">
      <c r="B171">
        <v>146</v>
      </c>
      <c r="C171" s="5" t="s">
        <v>557</v>
      </c>
      <c r="D171" s="5" t="s">
        <v>558</v>
      </c>
      <c r="E171" s="27"/>
      <c r="F171" s="5"/>
      <c r="G171" s="31"/>
      <c r="H171" s="8"/>
      <c r="I171" s="8"/>
    </row>
    <row r="172" spans="2:27">
      <c r="B172">
        <v>147</v>
      </c>
      <c r="C172" s="5" t="s">
        <v>559</v>
      </c>
      <c r="D172" s="5" t="s">
        <v>560</v>
      </c>
      <c r="E172" s="27"/>
      <c r="F172" s="5"/>
      <c r="G172" s="31"/>
      <c r="H172" s="8"/>
      <c r="I172" s="8"/>
    </row>
    <row r="173" spans="2:27">
      <c r="B173">
        <v>148</v>
      </c>
      <c r="C173" s="5" t="s">
        <v>561</v>
      </c>
      <c r="D173" s="5" t="s">
        <v>562</v>
      </c>
      <c r="E173" s="27"/>
      <c r="F173" s="5"/>
      <c r="G173" s="31"/>
      <c r="H173" s="8"/>
      <c r="I173" s="8"/>
    </row>
    <row r="174" spans="2:27">
      <c r="B174">
        <v>149</v>
      </c>
      <c r="C174" s="5" t="s">
        <v>563</v>
      </c>
      <c r="D174" s="5" t="s">
        <v>564</v>
      </c>
      <c r="E174" s="27"/>
      <c r="F174" s="5"/>
      <c r="G174" s="31"/>
      <c r="H174" s="8"/>
      <c r="I174" s="8"/>
    </row>
    <row r="175" spans="2:27">
      <c r="B175">
        <v>150</v>
      </c>
      <c r="C175" s="5" t="s">
        <v>565</v>
      </c>
      <c r="D175" s="5" t="s">
        <v>566</v>
      </c>
      <c r="E175" s="27"/>
      <c r="F175" s="5"/>
      <c r="G175" s="31"/>
      <c r="H175" s="8"/>
      <c r="I175" s="8"/>
    </row>
    <row r="176" spans="2:27">
      <c r="B176">
        <v>151</v>
      </c>
      <c r="C176" s="5" t="s">
        <v>567</v>
      </c>
      <c r="D176" s="5" t="s">
        <v>568</v>
      </c>
      <c r="E176" s="27"/>
      <c r="F176" s="5"/>
      <c r="G176" s="31"/>
      <c r="H176" s="8"/>
      <c r="I176" s="8"/>
    </row>
    <row r="177" spans="1:9">
      <c r="B177">
        <v>152</v>
      </c>
      <c r="C177" s="5" t="s">
        <v>569</v>
      </c>
      <c r="D177" s="5" t="s">
        <v>570</v>
      </c>
      <c r="E177" s="27"/>
      <c r="F177" s="5"/>
      <c r="G177" s="31"/>
      <c r="H177" s="8"/>
      <c r="I177" s="8"/>
    </row>
    <row r="178" spans="1:9">
      <c r="B178">
        <v>153</v>
      </c>
      <c r="C178" s="5" t="s">
        <v>571</v>
      </c>
      <c r="D178" s="5" t="s">
        <v>572</v>
      </c>
      <c r="E178" s="27"/>
      <c r="F178" s="5"/>
      <c r="G178" s="31"/>
      <c r="H178" s="8"/>
      <c r="I178" s="8"/>
    </row>
    <row r="179" spans="1:9">
      <c r="B179">
        <v>154</v>
      </c>
      <c r="C179" s="5" t="s">
        <v>573</v>
      </c>
      <c r="D179" s="5" t="s">
        <v>574</v>
      </c>
      <c r="E179" s="27"/>
      <c r="F179" s="5"/>
      <c r="G179" s="31"/>
      <c r="H179" s="8"/>
      <c r="I179" s="8"/>
    </row>
    <row r="180" spans="1:9">
      <c r="B180">
        <v>155</v>
      </c>
      <c r="C180" s="5" t="s">
        <v>575</v>
      </c>
      <c r="D180" s="5" t="s">
        <v>576</v>
      </c>
      <c r="E180" s="27"/>
      <c r="F180" s="5"/>
      <c r="G180" s="31"/>
      <c r="H180" s="8"/>
      <c r="I180" s="8"/>
    </row>
    <row r="181" spans="1:9">
      <c r="B181">
        <v>156</v>
      </c>
      <c r="C181" s="5" t="s">
        <v>577</v>
      </c>
      <c r="D181" s="5" t="s">
        <v>578</v>
      </c>
      <c r="E181" s="27"/>
      <c r="F181" s="5"/>
      <c r="G181" s="31"/>
      <c r="H181" s="8"/>
      <c r="I181" s="8"/>
    </row>
    <row r="182" spans="1:9">
      <c r="B182">
        <v>157</v>
      </c>
      <c r="C182" s="5" t="s">
        <v>579</v>
      </c>
      <c r="D182" s="5" t="s">
        <v>580</v>
      </c>
      <c r="E182" s="27"/>
      <c r="F182" s="5"/>
      <c r="G182" s="31"/>
      <c r="H182" s="8"/>
      <c r="I182" s="8"/>
    </row>
    <row r="183" spans="1:9">
      <c r="B183" t="str">
        <v/>
      </c>
      <c r="C183" s="5"/>
      <c r="D183" s="5"/>
      <c r="E183" s="27"/>
      <c r="F183" s="5"/>
      <c r="G183" s="31"/>
      <c r="H183" s="8"/>
      <c r="I183" s="8"/>
    </row>
    <row r="184" spans="1:9">
      <c r="B184" t="str">
        <v/>
      </c>
      <c r="C184" s="5"/>
      <c r="D184" s="5"/>
      <c r="E184" s="27"/>
      <c r="F184" s="5"/>
      <c r="G184" s="31"/>
      <c r="H184" s="8"/>
      <c r="I184" s="8"/>
    </row>
    <row r="185" spans="1:9">
      <c r="A185">
        <v>1</v>
      </c>
      <c r="B185">
        <v>158</v>
      </c>
      <c r="C185" s="5" t="s">
        <v>1</v>
      </c>
      <c r="D185" s="5" t="s">
        <v>581</v>
      </c>
      <c r="E185" s="27" t="s">
        <v>1151</v>
      </c>
      <c r="F185" s="5"/>
      <c r="G185" s="31"/>
      <c r="H185" s="8"/>
      <c r="I185" s="8"/>
    </row>
    <row r="186" spans="1:9">
      <c r="A186">
        <v>1</v>
      </c>
      <c r="B186">
        <v>159</v>
      </c>
      <c r="C186" s="5" t="s">
        <v>3</v>
      </c>
      <c r="D186" s="5" t="s">
        <v>582</v>
      </c>
      <c r="E186" s="27">
        <v>1</v>
      </c>
      <c r="F186" s="5"/>
      <c r="G186" s="31"/>
      <c r="H186" s="8"/>
      <c r="I186" s="8"/>
    </row>
    <row r="187" spans="1:9">
      <c r="A187">
        <v>1</v>
      </c>
      <c r="B187">
        <v>160</v>
      </c>
      <c r="C187" s="5" t="s">
        <v>5</v>
      </c>
      <c r="D187" s="5" t="s">
        <v>583</v>
      </c>
      <c r="E187" s="27">
        <v>1</v>
      </c>
      <c r="F187" s="5"/>
      <c r="G187" s="31"/>
      <c r="H187" s="8"/>
      <c r="I187" s="8"/>
    </row>
    <row r="188" spans="1:9">
      <c r="A188">
        <v>1</v>
      </c>
      <c r="B188">
        <v>161</v>
      </c>
      <c r="C188" s="5" t="s">
        <v>7</v>
      </c>
      <c r="D188" s="5" t="s">
        <v>584</v>
      </c>
      <c r="E188" s="27">
        <v>1</v>
      </c>
      <c r="F188" s="5"/>
      <c r="G188" s="31"/>
      <c r="H188" s="8"/>
      <c r="I188" s="8"/>
    </row>
    <row r="189" spans="1:9">
      <c r="A189">
        <v>1</v>
      </c>
      <c r="B189">
        <v>162</v>
      </c>
      <c r="C189" s="5" t="s">
        <v>9</v>
      </c>
      <c r="D189" s="5" t="s">
        <v>585</v>
      </c>
      <c r="E189" s="27">
        <v>1</v>
      </c>
      <c r="F189" s="5"/>
      <c r="G189" s="31"/>
      <c r="H189" s="8"/>
      <c r="I189" s="8"/>
    </row>
    <row r="190" spans="1:9">
      <c r="A190">
        <v>1</v>
      </c>
      <c r="B190">
        <v>163</v>
      </c>
      <c r="C190" s="5" t="s">
        <v>11</v>
      </c>
      <c r="D190" s="5" t="s">
        <v>586</v>
      </c>
      <c r="E190" s="27">
        <v>1</v>
      </c>
      <c r="F190" s="5"/>
      <c r="G190" s="31"/>
      <c r="H190" s="8"/>
      <c r="I190" s="8"/>
    </row>
    <row r="191" spans="1:9">
      <c r="A191">
        <v>1</v>
      </c>
      <c r="B191">
        <v>164</v>
      </c>
      <c r="C191" s="5" t="s">
        <v>13</v>
      </c>
      <c r="D191" s="5" t="s">
        <v>587</v>
      </c>
      <c r="E191" s="27">
        <v>1</v>
      </c>
      <c r="F191" s="5"/>
      <c r="G191" s="31"/>
      <c r="H191" s="8"/>
      <c r="I191" s="8"/>
    </row>
    <row r="192" spans="1:9">
      <c r="A192">
        <v>1</v>
      </c>
      <c r="B192">
        <v>165</v>
      </c>
      <c r="C192" s="5" t="s">
        <v>15</v>
      </c>
      <c r="D192" s="5" t="s">
        <v>588</v>
      </c>
      <c r="E192" s="27">
        <v>1</v>
      </c>
      <c r="F192" s="5"/>
      <c r="G192" s="31"/>
      <c r="H192" s="8"/>
      <c r="I192" s="8"/>
    </row>
    <row r="193" spans="1:9">
      <c r="A193">
        <v>1</v>
      </c>
      <c r="B193">
        <v>166</v>
      </c>
      <c r="C193" s="5" t="s">
        <v>17</v>
      </c>
      <c r="D193" s="5" t="s">
        <v>589</v>
      </c>
      <c r="E193" s="27">
        <v>1</v>
      </c>
      <c r="F193" s="5"/>
      <c r="G193" s="31"/>
      <c r="H193" s="8"/>
      <c r="I193" s="8"/>
    </row>
    <row r="194" spans="1:9">
      <c r="A194">
        <v>1</v>
      </c>
      <c r="B194">
        <v>167</v>
      </c>
      <c r="C194" s="5" t="s">
        <v>19</v>
      </c>
      <c r="D194" s="5" t="s">
        <v>590</v>
      </c>
      <c r="E194" s="27">
        <v>1</v>
      </c>
      <c r="F194" s="5"/>
      <c r="G194" s="31"/>
      <c r="H194" s="8"/>
      <c r="I194" s="8"/>
    </row>
    <row r="195" spans="1:9">
      <c r="A195">
        <v>1</v>
      </c>
      <c r="B195">
        <v>168</v>
      </c>
      <c r="C195" s="5" t="s">
        <v>21</v>
      </c>
      <c r="D195" s="5" t="s">
        <v>591</v>
      </c>
      <c r="E195" s="27">
        <v>1</v>
      </c>
      <c r="F195" s="5"/>
      <c r="G195" s="31"/>
      <c r="H195" s="8"/>
      <c r="I195" s="8"/>
    </row>
    <row r="196" spans="1:9">
      <c r="A196">
        <v>1</v>
      </c>
      <c r="B196">
        <v>169</v>
      </c>
      <c r="C196" s="5" t="s">
        <v>23</v>
      </c>
      <c r="D196" s="5" t="s">
        <v>592</v>
      </c>
      <c r="E196" s="27">
        <v>1</v>
      </c>
      <c r="F196" s="5"/>
      <c r="G196" s="31"/>
      <c r="H196" s="8"/>
      <c r="I196" s="8"/>
    </row>
    <row r="197" spans="1:9">
      <c r="B197" t="str">
        <v/>
      </c>
      <c r="C197" s="5"/>
      <c r="D197" s="5"/>
      <c r="E197" s="27"/>
      <c r="F197" s="5"/>
      <c r="G197" s="31"/>
      <c r="H197" s="8"/>
      <c r="I197" s="8"/>
    </row>
    <row r="198" spans="1:9">
      <c r="B198" t="str">
        <v/>
      </c>
      <c r="C198" s="5"/>
      <c r="D198" s="5"/>
      <c r="E198" s="27"/>
      <c r="F198" s="5"/>
      <c r="G198" s="31"/>
      <c r="H198" s="8"/>
      <c r="I198" s="8"/>
    </row>
    <row r="199" spans="1:9">
      <c r="B199" t="str">
        <v/>
      </c>
      <c r="C199" s="5"/>
      <c r="D199" s="5"/>
      <c r="E199" s="27"/>
      <c r="F199" s="5"/>
      <c r="G199" s="31"/>
      <c r="H199" s="8"/>
      <c r="I199" s="8"/>
    </row>
    <row r="200" spans="1:9">
      <c r="B200" t="str">
        <v/>
      </c>
      <c r="C200" s="5"/>
      <c r="D200" s="5"/>
      <c r="E200" s="27"/>
      <c r="F200" s="5"/>
      <c r="G200" s="31"/>
      <c r="H200" s="8"/>
      <c r="I200" s="8"/>
    </row>
    <row r="201" spans="1:9">
      <c r="B201" t="str">
        <v/>
      </c>
      <c r="C201" s="5"/>
      <c r="D201" s="5"/>
      <c r="E201" s="27"/>
      <c r="F201" s="5"/>
      <c r="G201" s="31"/>
      <c r="H201" s="8"/>
      <c r="I201" s="8"/>
    </row>
    <row r="202" spans="1:9">
      <c r="B202" t="str">
        <v/>
      </c>
      <c r="C202" s="5"/>
      <c r="D202" s="5"/>
      <c r="E202" s="27"/>
      <c r="F202" s="5"/>
      <c r="G202" s="31"/>
      <c r="H202" s="8"/>
      <c r="I202" s="8"/>
    </row>
    <row r="203" spans="1:9">
      <c r="B203" t="str">
        <v/>
      </c>
      <c r="C203" s="5"/>
      <c r="D203" s="5"/>
      <c r="E203" s="27"/>
      <c r="F203" s="5"/>
      <c r="G203" s="31"/>
      <c r="H203" s="8"/>
      <c r="I203" s="8"/>
    </row>
    <row r="204" spans="1:9">
      <c r="B204" t="str">
        <v/>
      </c>
      <c r="C204" s="5"/>
      <c r="D204" s="5"/>
      <c r="E204" s="27"/>
      <c r="F204" s="5"/>
      <c r="G204" s="31"/>
      <c r="H204" s="8"/>
      <c r="I204" s="8"/>
    </row>
    <row r="205" spans="1:9">
      <c r="B205" t="str">
        <v/>
      </c>
      <c r="E205" s="27"/>
      <c r="F205" s="5"/>
    </row>
    <row r="206" spans="1:9">
      <c r="B206" t="str">
        <v/>
      </c>
      <c r="E206" s="27"/>
      <c r="F206" s="5"/>
    </row>
    <row r="207" spans="1:9">
      <c r="B207" t="str">
        <v/>
      </c>
      <c r="C207" s="5"/>
      <c r="D207" s="5"/>
      <c r="E207" s="27"/>
      <c r="F207" s="5"/>
      <c r="G207" s="31"/>
      <c r="H207" s="8"/>
      <c r="I207" s="8"/>
    </row>
    <row r="208" spans="1:9">
      <c r="B208" t="str">
        <v/>
      </c>
      <c r="C208" s="5"/>
      <c r="D208" s="5"/>
      <c r="E208" s="27"/>
      <c r="F208" s="5"/>
      <c r="G208" s="31"/>
      <c r="H208" s="8"/>
      <c r="I208" s="8"/>
    </row>
    <row r="209" spans="2:9">
      <c r="B209" t="str">
        <v/>
      </c>
      <c r="C209" s="5"/>
      <c r="D209" s="5"/>
      <c r="E209" s="27"/>
      <c r="F209" s="5"/>
      <c r="G209" s="31"/>
      <c r="H209" s="8"/>
      <c r="I209" s="8"/>
    </row>
    <row r="210" spans="2:9">
      <c r="B210" t="str">
        <v/>
      </c>
      <c r="C210" s="5"/>
      <c r="D210" s="5"/>
      <c r="E210" s="27"/>
      <c r="F210" s="5"/>
      <c r="G210" s="31"/>
      <c r="H210" s="8"/>
      <c r="I210" s="8"/>
    </row>
    <row r="211" spans="2:9">
      <c r="B211" t="str">
        <v/>
      </c>
      <c r="C211" s="5"/>
      <c r="D211" s="5"/>
      <c r="E211" s="27"/>
      <c r="F211" s="5"/>
      <c r="G211" s="31"/>
      <c r="H211" s="8"/>
      <c r="I211" s="8"/>
    </row>
    <row r="212" spans="2:9">
      <c r="B212" t="str">
        <v/>
      </c>
      <c r="C212" s="5"/>
      <c r="D212" s="5"/>
      <c r="E212" s="27"/>
      <c r="F212" s="5"/>
      <c r="G212" s="31"/>
      <c r="H212" s="8"/>
      <c r="I212" s="8"/>
    </row>
    <row r="213" spans="2:9">
      <c r="B213" t="str">
        <v/>
      </c>
      <c r="C213" s="5"/>
      <c r="D213" s="5"/>
      <c r="E213" s="27"/>
      <c r="F213" s="5"/>
      <c r="G213" s="31"/>
      <c r="H213" s="8"/>
      <c r="I213" s="8"/>
    </row>
    <row r="214" spans="2:9">
      <c r="B214" t="str">
        <v/>
      </c>
      <c r="C214" s="5"/>
      <c r="D214" s="5"/>
      <c r="E214" s="27"/>
      <c r="F214" s="5"/>
      <c r="G214" s="31"/>
      <c r="H214" s="8"/>
      <c r="I214" s="8"/>
    </row>
    <row r="215" spans="2:9">
      <c r="B215" t="str">
        <v/>
      </c>
      <c r="C215" s="5"/>
      <c r="D215" s="5"/>
      <c r="E215" s="27"/>
      <c r="F215" s="5"/>
      <c r="G215" s="31"/>
      <c r="H215" s="8"/>
      <c r="I215" s="8"/>
    </row>
    <row r="216" spans="2:9">
      <c r="B216" t="str">
        <v/>
      </c>
      <c r="C216" s="5"/>
      <c r="D216" s="5"/>
      <c r="E216" s="27"/>
      <c r="F216" s="5"/>
      <c r="G216" s="31"/>
      <c r="H216" s="8"/>
      <c r="I216" s="8"/>
    </row>
    <row r="217" spans="2:9">
      <c r="B217" t="str">
        <v/>
      </c>
      <c r="C217" s="5"/>
      <c r="D217" s="5"/>
      <c r="E217" s="27"/>
      <c r="F217" s="5"/>
      <c r="G217" s="31"/>
      <c r="H217" s="8"/>
      <c r="I217" s="8"/>
    </row>
    <row r="218" spans="2:9">
      <c r="B218" t="str">
        <v/>
      </c>
      <c r="F218" s="5"/>
      <c r="G218" s="31"/>
      <c r="H218" s="8"/>
      <c r="I218" s="8"/>
    </row>
    <row r="219" spans="2:9">
      <c r="B219" t="str">
        <v/>
      </c>
      <c r="F219" s="5"/>
      <c r="G219" s="31"/>
      <c r="H219" s="8"/>
      <c r="I219" s="8"/>
    </row>
    <row r="220" spans="2:9">
      <c r="B220" t="str">
        <v/>
      </c>
      <c r="F220" s="5"/>
      <c r="G220" s="31"/>
      <c r="H220" s="8"/>
      <c r="I220" s="8"/>
    </row>
    <row r="221" spans="2:9">
      <c r="B221" t="str">
        <v/>
      </c>
      <c r="F221" s="5"/>
      <c r="G221" s="31"/>
      <c r="H221" s="8"/>
      <c r="I221" s="8"/>
    </row>
    <row r="222" spans="2:9">
      <c r="B222" t="str">
        <v/>
      </c>
      <c r="F222" s="5"/>
      <c r="G222" s="31"/>
      <c r="H222" s="8"/>
      <c r="I222" s="8"/>
    </row>
    <row r="223" spans="2:9">
      <c r="B223" t="str">
        <v/>
      </c>
      <c r="F223" s="5"/>
      <c r="G223" s="31"/>
      <c r="H223" s="8"/>
      <c r="I223" s="8"/>
    </row>
    <row r="224" spans="2:9">
      <c r="B224" t="str">
        <v/>
      </c>
      <c r="F224" s="5"/>
      <c r="G224" s="31"/>
      <c r="H224" s="8"/>
      <c r="I224" s="8"/>
    </row>
    <row r="225" spans="2:9">
      <c r="B225" t="str">
        <v/>
      </c>
      <c r="F225" s="5"/>
      <c r="G225" s="31"/>
      <c r="H225" s="8"/>
      <c r="I225" s="8"/>
    </row>
    <row r="226" spans="2:9">
      <c r="B226" t="str">
        <v/>
      </c>
      <c r="F226" s="5"/>
      <c r="G226" s="31"/>
      <c r="H226" s="8"/>
      <c r="I226" s="8"/>
    </row>
    <row r="227" spans="2:9">
      <c r="B227" t="str">
        <v/>
      </c>
      <c r="F227" s="5"/>
      <c r="G227" s="31"/>
      <c r="H227" s="8"/>
      <c r="I227" s="8"/>
    </row>
    <row r="228" spans="2:9">
      <c r="B228" t="str">
        <v/>
      </c>
      <c r="F228" s="5"/>
      <c r="G228" s="31"/>
      <c r="H228" s="8"/>
      <c r="I228" s="8"/>
    </row>
    <row r="229" spans="2:9">
      <c r="B229" t="str">
        <v/>
      </c>
      <c r="F229" s="5"/>
      <c r="G229" s="31"/>
      <c r="H229" s="8"/>
      <c r="I229" s="8"/>
    </row>
    <row r="230" spans="2:9">
      <c r="B230" t="str">
        <v/>
      </c>
      <c r="F230" s="5"/>
      <c r="G230" s="31"/>
      <c r="H230" s="8"/>
      <c r="I230" s="8"/>
    </row>
    <row r="231" spans="2:9">
      <c r="B231" t="str">
        <v/>
      </c>
      <c r="F231" s="5"/>
      <c r="G231" s="31"/>
      <c r="H231" s="8"/>
      <c r="I231" s="8"/>
    </row>
    <row r="232" spans="2:9">
      <c r="B232" t="str">
        <v/>
      </c>
      <c r="F232" s="5"/>
      <c r="G232" s="31"/>
      <c r="H232" s="8"/>
      <c r="I232" s="8"/>
    </row>
    <row r="233" spans="2:9">
      <c r="B233" t="str">
        <v/>
      </c>
      <c r="F233" s="5"/>
      <c r="G233" s="31"/>
      <c r="H233" s="8"/>
      <c r="I233" s="8"/>
    </row>
    <row r="234" spans="2:9">
      <c r="B234" t="str">
        <v/>
      </c>
      <c r="F234" s="5"/>
      <c r="G234" s="31"/>
      <c r="H234" s="8"/>
      <c r="I234" s="8"/>
    </row>
    <row r="235" spans="2:9">
      <c r="B235" t="str">
        <v/>
      </c>
      <c r="F235" s="5"/>
      <c r="G235" s="31"/>
      <c r="H235" s="8"/>
      <c r="I235" s="8"/>
    </row>
    <row r="236" spans="2:9">
      <c r="B236" t="str">
        <v/>
      </c>
      <c r="F236" s="5"/>
      <c r="G236" s="31"/>
      <c r="H236" s="8"/>
      <c r="I236" s="8"/>
    </row>
    <row r="237" spans="2:9">
      <c r="B237" t="str">
        <v/>
      </c>
      <c r="F237" s="5"/>
      <c r="G237" s="31"/>
      <c r="H237" s="8"/>
      <c r="I237" s="8"/>
    </row>
    <row r="238" spans="2:9">
      <c r="B238" t="str">
        <v/>
      </c>
      <c r="F238" s="5"/>
      <c r="G238" s="31"/>
      <c r="H238" s="8"/>
      <c r="I238" s="8"/>
    </row>
    <row r="239" spans="2:9">
      <c r="B239" t="str">
        <v/>
      </c>
      <c r="F239" s="5"/>
      <c r="G239" s="31"/>
      <c r="H239" s="8"/>
      <c r="I239" s="8"/>
    </row>
    <row r="240" spans="2:9">
      <c r="B240" t="str">
        <v/>
      </c>
      <c r="F240" s="5"/>
      <c r="G240" s="31"/>
      <c r="H240" s="8"/>
      <c r="I240" s="8"/>
    </row>
    <row r="241" spans="2:9">
      <c r="B241" t="str">
        <v/>
      </c>
      <c r="F241" s="5"/>
      <c r="G241" s="31"/>
      <c r="H241" s="8"/>
      <c r="I241" s="8"/>
    </row>
    <row r="242" spans="2:9">
      <c r="B242" t="str">
        <v/>
      </c>
      <c r="F242" s="5"/>
      <c r="G242" s="31"/>
      <c r="H242" s="8"/>
      <c r="I242" s="8"/>
    </row>
    <row r="243" spans="2:9">
      <c r="B243" t="str">
        <v/>
      </c>
      <c r="F243" s="5"/>
      <c r="G243" s="31"/>
      <c r="H243" s="8"/>
      <c r="I243" s="8"/>
    </row>
    <row r="244" spans="2:9">
      <c r="B244" t="str">
        <v/>
      </c>
      <c r="F244" s="5"/>
      <c r="G244" s="31"/>
      <c r="H244" s="8"/>
      <c r="I244" s="8"/>
    </row>
    <row r="245" spans="2:9">
      <c r="B245" t="str">
        <v/>
      </c>
      <c r="F245" s="5"/>
      <c r="G245" s="31"/>
      <c r="H245" s="8"/>
      <c r="I245" s="8"/>
    </row>
    <row r="246" spans="2:9">
      <c r="B246" t="str">
        <v/>
      </c>
      <c r="C246" s="5"/>
      <c r="D246" s="5"/>
      <c r="E246" s="27"/>
      <c r="F246" s="5"/>
    </row>
    <row r="247" spans="2:9">
      <c r="B247" t="str">
        <v/>
      </c>
      <c r="C247" s="5"/>
      <c r="D247" s="5"/>
      <c r="E247" s="27"/>
      <c r="F247" s="5"/>
    </row>
    <row r="248" spans="2:9">
      <c r="B248" t="str">
        <v/>
      </c>
      <c r="C248" s="5"/>
      <c r="D248" s="5"/>
      <c r="E248" s="27"/>
      <c r="F248" s="5"/>
      <c r="G248" s="31"/>
      <c r="H248" s="8"/>
      <c r="I248" s="8"/>
    </row>
    <row r="249" spans="2:9">
      <c r="B249" t="str">
        <v/>
      </c>
      <c r="C249" s="5"/>
      <c r="D249" s="5"/>
      <c r="E249" s="27"/>
      <c r="F249" s="5"/>
      <c r="G249" s="31"/>
      <c r="H249" s="8"/>
      <c r="I249" s="8"/>
    </row>
    <row r="250" spans="2:9">
      <c r="B250" t="str">
        <v/>
      </c>
      <c r="C250" s="5"/>
      <c r="D250" s="5"/>
      <c r="E250" s="27"/>
      <c r="F250" s="5"/>
      <c r="G250" s="31"/>
      <c r="H250" s="8"/>
      <c r="I250" s="8"/>
    </row>
    <row r="251" spans="2:9">
      <c r="B251" t="str">
        <v/>
      </c>
      <c r="C251" s="5"/>
      <c r="D251" s="5"/>
      <c r="E251" s="27"/>
      <c r="F251" s="5"/>
      <c r="G251" s="31"/>
      <c r="H251" s="8"/>
      <c r="I251" s="8"/>
    </row>
    <row r="252" spans="2:9">
      <c r="B252" t="str">
        <v/>
      </c>
      <c r="C252" s="5"/>
      <c r="D252" s="5"/>
      <c r="E252" s="27"/>
      <c r="F252" s="5"/>
      <c r="G252" s="31"/>
      <c r="H252" s="8"/>
      <c r="I252" s="8"/>
    </row>
    <row r="253" spans="2:9">
      <c r="B253" t="str">
        <v/>
      </c>
      <c r="C253" s="5"/>
      <c r="D253" s="5"/>
      <c r="E253" s="27"/>
      <c r="F253" s="5"/>
      <c r="G253" s="31"/>
      <c r="H253" s="8"/>
      <c r="I253" s="8"/>
    </row>
    <row r="254" spans="2:9">
      <c r="B254" t="str">
        <v/>
      </c>
      <c r="C254" s="5"/>
      <c r="D254" s="5"/>
      <c r="E254" s="27"/>
      <c r="F254" s="5"/>
      <c r="G254" s="31"/>
      <c r="H254" s="8"/>
      <c r="I254" s="8"/>
    </row>
    <row r="255" spans="2:9">
      <c r="B255" t="str">
        <v/>
      </c>
      <c r="C255" s="5"/>
      <c r="D255" s="5"/>
      <c r="E255" s="27"/>
      <c r="F255" s="5"/>
      <c r="G255" s="31"/>
      <c r="H255" s="8"/>
      <c r="I255" s="8"/>
    </row>
    <row r="256" spans="2:9">
      <c r="B256" t="str">
        <v/>
      </c>
      <c r="C256" s="5"/>
      <c r="D256" s="5"/>
      <c r="E256" s="27"/>
      <c r="F256" s="5"/>
      <c r="G256" s="31"/>
      <c r="H256" s="8"/>
      <c r="I256" s="8"/>
    </row>
    <row r="257" spans="2:9">
      <c r="B257" t="str">
        <v/>
      </c>
      <c r="C257" s="5"/>
      <c r="D257" s="5"/>
      <c r="E257" s="27"/>
      <c r="F257" s="5"/>
      <c r="G257" s="31"/>
      <c r="H257" s="8"/>
      <c r="I257" s="8"/>
    </row>
    <row r="258" spans="2:9">
      <c r="B258" t="str">
        <v/>
      </c>
      <c r="C258" s="5"/>
      <c r="D258" s="5"/>
      <c r="E258" s="27"/>
      <c r="F258" s="5"/>
      <c r="G258" s="31"/>
      <c r="H258" s="8"/>
      <c r="I258" s="8"/>
    </row>
    <row r="259" spans="2:9">
      <c r="B259" t="str">
        <v/>
      </c>
      <c r="C259" s="5"/>
      <c r="D259" s="5"/>
      <c r="E259" s="27"/>
      <c r="F259" s="5"/>
      <c r="G259" s="31"/>
      <c r="H259" s="8"/>
      <c r="I259" s="8"/>
    </row>
    <row r="260" spans="2:9">
      <c r="B260" t="str">
        <v/>
      </c>
      <c r="C260" s="5"/>
      <c r="D260" s="5"/>
      <c r="E260" s="27"/>
      <c r="F260" s="5"/>
      <c r="G260" s="31"/>
      <c r="H260" s="8"/>
      <c r="I260" s="8"/>
    </row>
    <row r="261" spans="2:9">
      <c r="B261" t="str">
        <v/>
      </c>
      <c r="C261" s="5"/>
      <c r="D261" s="5"/>
      <c r="E261" s="27"/>
      <c r="F261" s="5"/>
      <c r="G261" s="31"/>
      <c r="H261" s="8"/>
      <c r="I261" s="8"/>
    </row>
    <row r="262" spans="2:9">
      <c r="B262" t="str">
        <v/>
      </c>
      <c r="C262" s="5"/>
      <c r="D262" s="5"/>
      <c r="E262" s="27"/>
      <c r="F262" s="5"/>
      <c r="G262" s="31"/>
      <c r="H262" s="8"/>
      <c r="I262" s="8"/>
    </row>
    <row r="263" spans="2:9">
      <c r="B263" t="str">
        <v/>
      </c>
      <c r="C263" s="5"/>
      <c r="D263" s="5"/>
      <c r="E263" s="27"/>
      <c r="F263" s="5"/>
      <c r="G263" s="31"/>
      <c r="H263" s="8"/>
      <c r="I263" s="8"/>
    </row>
    <row r="264" spans="2:9">
      <c r="B264" t="str">
        <v/>
      </c>
      <c r="C264" s="5"/>
      <c r="D264" s="5"/>
      <c r="E264" s="27"/>
      <c r="F264" s="5"/>
      <c r="G264" s="31"/>
      <c r="H264" s="8"/>
      <c r="I264" s="8"/>
    </row>
    <row r="265" spans="2:9">
      <c r="B265" t="str">
        <v/>
      </c>
      <c r="C265" s="5"/>
      <c r="D265" s="5"/>
      <c r="E265" s="27"/>
      <c r="F265" s="5"/>
      <c r="G265" s="31"/>
      <c r="H265" s="8"/>
      <c r="I265" s="8"/>
    </row>
    <row r="266" spans="2:9">
      <c r="B266" t="str">
        <v/>
      </c>
      <c r="C266" s="5"/>
      <c r="D266" s="5"/>
      <c r="E266" s="27"/>
      <c r="F266" s="5"/>
      <c r="G266" s="31"/>
      <c r="H266" s="8"/>
      <c r="I266" s="8"/>
    </row>
    <row r="267" spans="2:9">
      <c r="B267" t="str">
        <v/>
      </c>
      <c r="C267" s="5"/>
      <c r="D267" s="5"/>
      <c r="E267" s="27"/>
      <c r="F267" s="5"/>
      <c r="G267" s="31"/>
      <c r="H267" s="8"/>
      <c r="I267" s="8"/>
    </row>
    <row r="268" spans="2:9">
      <c r="B268" t="str">
        <v/>
      </c>
      <c r="C268" s="5"/>
      <c r="D268" s="5"/>
      <c r="E268" s="27"/>
      <c r="F268" s="5"/>
      <c r="G268" s="31"/>
      <c r="H268" s="8"/>
      <c r="I268" s="8"/>
    </row>
    <row r="269" spans="2:9">
      <c r="B269" t="str">
        <v/>
      </c>
      <c r="C269" s="5"/>
      <c r="D269" s="5"/>
      <c r="E269" s="27"/>
      <c r="F269" s="5"/>
      <c r="G269" s="31"/>
      <c r="H269" s="8"/>
      <c r="I269" s="8"/>
    </row>
    <row r="270" spans="2:9">
      <c r="B270" t="str">
        <v/>
      </c>
      <c r="C270" s="5"/>
      <c r="D270" s="5"/>
      <c r="E270" s="27"/>
      <c r="F270" s="5"/>
      <c r="G270" s="31"/>
      <c r="H270" s="8"/>
      <c r="I270" s="8"/>
    </row>
    <row r="271" spans="2:9">
      <c r="B271" t="str">
        <v/>
      </c>
      <c r="C271" s="5"/>
      <c r="D271" s="5"/>
      <c r="E271" s="27"/>
      <c r="F271" s="5"/>
      <c r="G271" s="31"/>
      <c r="H271" s="8"/>
      <c r="I271" s="8"/>
    </row>
    <row r="272" spans="2:9">
      <c r="B272" t="str">
        <v/>
      </c>
      <c r="C272" s="5"/>
      <c r="D272" s="5"/>
      <c r="E272" s="27"/>
      <c r="F272" s="5"/>
      <c r="G272" s="31"/>
      <c r="H272" s="8"/>
      <c r="I272" s="8"/>
    </row>
    <row r="273" spans="2:9">
      <c r="B273" t="str">
        <v/>
      </c>
      <c r="C273" s="5"/>
      <c r="D273" s="5"/>
      <c r="E273" s="27"/>
      <c r="F273" s="5"/>
      <c r="G273" s="31"/>
      <c r="H273" s="8"/>
      <c r="I273" s="8"/>
    </row>
    <row r="274" spans="2:9">
      <c r="B274" t="str">
        <v/>
      </c>
      <c r="C274" s="5"/>
      <c r="D274" s="5"/>
      <c r="E274" s="27"/>
      <c r="F274" s="5"/>
      <c r="G274" s="31"/>
      <c r="H274" s="8"/>
      <c r="I274" s="8"/>
    </row>
    <row r="275" spans="2:9">
      <c r="B275" t="str">
        <v/>
      </c>
      <c r="C275" s="5"/>
      <c r="D275" s="5"/>
      <c r="E275" s="27"/>
      <c r="F275" s="5"/>
      <c r="G275" s="31"/>
      <c r="H275" s="8"/>
      <c r="I275" s="8"/>
    </row>
    <row r="276" spans="2:9">
      <c r="B276" t="str">
        <v/>
      </c>
      <c r="C276" s="5"/>
      <c r="D276" s="5"/>
      <c r="E276" s="27"/>
      <c r="F276" s="5"/>
      <c r="G276" s="31"/>
      <c r="H276" s="8"/>
      <c r="I276" s="8"/>
    </row>
    <row r="277" spans="2:9">
      <c r="B277" t="str">
        <v/>
      </c>
      <c r="C277" s="5"/>
      <c r="D277" s="5"/>
      <c r="E277" s="27"/>
      <c r="F277" s="5"/>
      <c r="G277" s="31"/>
      <c r="H277" s="8"/>
      <c r="I277" s="8"/>
    </row>
    <row r="278" spans="2:9">
      <c r="B278" t="str">
        <v/>
      </c>
      <c r="C278" s="5"/>
      <c r="D278" s="5"/>
      <c r="E278" s="27"/>
      <c r="F278" s="5"/>
      <c r="G278" s="31"/>
      <c r="H278" s="8"/>
      <c r="I278" s="8"/>
    </row>
    <row r="279" spans="2:9">
      <c r="B279" t="str">
        <v/>
      </c>
      <c r="C279" s="5"/>
      <c r="D279" s="5"/>
      <c r="E279" s="27"/>
      <c r="F279" s="5"/>
      <c r="G279" s="31"/>
      <c r="H279" s="8"/>
      <c r="I279" s="8"/>
    </row>
    <row r="280" spans="2:9">
      <c r="B280" t="str">
        <v/>
      </c>
      <c r="C280" s="5"/>
      <c r="D280" s="5"/>
      <c r="E280" s="27"/>
      <c r="F280" s="5"/>
      <c r="G280" s="31"/>
      <c r="H280" s="8"/>
      <c r="I280" s="8"/>
    </row>
    <row r="281" spans="2:9">
      <c r="B281" t="str">
        <v/>
      </c>
      <c r="C281" s="5"/>
      <c r="D281" s="5"/>
      <c r="E281" s="27"/>
      <c r="F281" s="5"/>
      <c r="G281" s="31"/>
      <c r="H281" s="8"/>
      <c r="I281" s="8"/>
    </row>
    <row r="282" spans="2:9">
      <c r="B282" t="str">
        <v/>
      </c>
      <c r="C282" s="5"/>
      <c r="D282" s="5"/>
      <c r="E282" s="27"/>
      <c r="F282" s="5"/>
      <c r="G282" s="31"/>
      <c r="H282" s="8"/>
      <c r="I282" s="8"/>
    </row>
    <row r="283" spans="2:9">
      <c r="B283" t="str">
        <v/>
      </c>
      <c r="C283" s="5"/>
      <c r="D283" s="5"/>
      <c r="E283" s="27"/>
      <c r="F283" s="5"/>
      <c r="G283" s="31"/>
      <c r="H283" s="8"/>
      <c r="I283" s="8"/>
    </row>
    <row r="284" spans="2:9">
      <c r="B284" t="str">
        <v/>
      </c>
      <c r="C284" s="5"/>
      <c r="D284" s="5"/>
      <c r="E284" s="27"/>
      <c r="F284" s="5"/>
      <c r="G284" s="31"/>
      <c r="H284" s="8"/>
      <c r="I284" s="8"/>
    </row>
    <row r="285" spans="2:9">
      <c r="B285" t="str">
        <v/>
      </c>
      <c r="C285" s="5"/>
      <c r="D285" s="5"/>
      <c r="E285" s="27"/>
      <c r="F285" s="5"/>
      <c r="G285" s="31"/>
      <c r="H285" s="8"/>
      <c r="I285" s="8"/>
    </row>
    <row r="286" spans="2:9">
      <c r="B286" t="str">
        <v/>
      </c>
      <c r="C286" s="5"/>
      <c r="D286" s="5"/>
      <c r="E286" s="27"/>
      <c r="F286" s="5"/>
      <c r="G286" s="31"/>
      <c r="H286" s="8"/>
      <c r="I286" s="8"/>
    </row>
    <row r="287" spans="2:9">
      <c r="B287" t="str">
        <v/>
      </c>
      <c r="E287" s="27"/>
      <c r="F287" s="5"/>
    </row>
    <row r="288" spans="2:9">
      <c r="B288" t="str">
        <v/>
      </c>
      <c r="E288" s="27"/>
      <c r="F288" s="5"/>
    </row>
    <row r="289" spans="2:9">
      <c r="B289" t="str">
        <v/>
      </c>
      <c r="C289" s="5"/>
      <c r="D289" s="5"/>
      <c r="E289" s="27"/>
      <c r="F289" s="5"/>
      <c r="G289" s="31"/>
      <c r="H289" s="8"/>
      <c r="I289" s="8"/>
    </row>
    <row r="290" spans="2:9">
      <c r="B290" t="str">
        <v/>
      </c>
      <c r="C290" s="5"/>
      <c r="D290" s="5"/>
      <c r="E290" s="27"/>
      <c r="F290" s="5"/>
      <c r="G290" s="31"/>
      <c r="H290" s="8"/>
      <c r="I290" s="8"/>
    </row>
    <row r="291" spans="2:9">
      <c r="B291" t="str">
        <v/>
      </c>
      <c r="C291" s="5"/>
      <c r="D291" s="5"/>
      <c r="E291" s="27"/>
      <c r="F291" s="5"/>
      <c r="G291" s="31"/>
      <c r="H291" s="8"/>
      <c r="I291" s="8"/>
    </row>
    <row r="292" spans="2:9">
      <c r="B292" t="str">
        <v/>
      </c>
      <c r="C292" s="5"/>
      <c r="D292" s="5"/>
      <c r="E292" s="27"/>
      <c r="F292" s="5"/>
      <c r="G292" s="31"/>
      <c r="H292" s="8"/>
      <c r="I292" s="8"/>
    </row>
    <row r="293" spans="2:9">
      <c r="B293" t="str">
        <v/>
      </c>
      <c r="C293" s="5"/>
      <c r="D293" s="5"/>
      <c r="E293" s="27"/>
      <c r="F293" s="5"/>
      <c r="G293" s="31"/>
      <c r="H293" s="8"/>
      <c r="I293" s="8"/>
    </row>
    <row r="294" spans="2:9">
      <c r="B294" t="str">
        <v/>
      </c>
      <c r="C294" s="5"/>
      <c r="D294" s="5"/>
      <c r="E294" s="27"/>
      <c r="F294" s="5"/>
      <c r="G294" s="31"/>
      <c r="H294" s="8"/>
      <c r="I294" s="8"/>
    </row>
    <row r="295" spans="2:9">
      <c r="B295" t="str">
        <v/>
      </c>
      <c r="C295" s="5"/>
      <c r="D295" s="5"/>
      <c r="E295" s="27"/>
      <c r="F295" s="5"/>
      <c r="G295" s="31"/>
      <c r="H295" s="8"/>
      <c r="I295" s="8"/>
    </row>
    <row r="296" spans="2:9">
      <c r="B296" t="str">
        <v/>
      </c>
      <c r="C296" s="5"/>
      <c r="D296" s="5"/>
      <c r="E296" s="27"/>
      <c r="F296" s="5"/>
      <c r="G296" s="31"/>
      <c r="H296" s="8"/>
      <c r="I296" s="8"/>
    </row>
    <row r="297" spans="2:9">
      <c r="B297" t="str">
        <v/>
      </c>
      <c r="C297" s="5"/>
      <c r="D297" s="5"/>
      <c r="E297" s="27"/>
      <c r="F297" s="5"/>
      <c r="G297" s="31"/>
      <c r="H297" s="8"/>
      <c r="I297" s="8"/>
    </row>
    <row r="298" spans="2:9">
      <c r="B298" t="str">
        <v/>
      </c>
      <c r="C298" s="5"/>
      <c r="D298" s="5"/>
      <c r="E298" s="27"/>
      <c r="F298" s="5"/>
      <c r="G298" s="31"/>
      <c r="H298" s="8"/>
      <c r="I298" s="8"/>
    </row>
    <row r="299" spans="2:9">
      <c r="B299" t="str">
        <v/>
      </c>
      <c r="C299" s="5"/>
      <c r="D299" s="5"/>
      <c r="E299" s="27"/>
      <c r="F299" s="5"/>
      <c r="G299" s="31"/>
      <c r="H299" s="8"/>
      <c r="I299" s="8"/>
    </row>
    <row r="300" spans="2:9">
      <c r="B300" t="str">
        <v/>
      </c>
      <c r="C300" s="5"/>
      <c r="D300" s="5"/>
      <c r="E300" s="27"/>
      <c r="F300" s="5"/>
      <c r="G300" s="31"/>
      <c r="H300" s="8"/>
      <c r="I300" s="8"/>
    </row>
    <row r="301" spans="2:9">
      <c r="B301" t="str">
        <v/>
      </c>
      <c r="C301" s="5"/>
      <c r="D301" s="5"/>
      <c r="E301" s="27"/>
      <c r="F301" s="5"/>
      <c r="G301" s="31"/>
      <c r="H301" s="8"/>
      <c r="I301" s="8"/>
    </row>
    <row r="302" spans="2:9">
      <c r="B302" t="str">
        <v/>
      </c>
      <c r="C302" s="5"/>
      <c r="D302" s="5"/>
      <c r="E302" s="27"/>
      <c r="F302" s="5"/>
      <c r="G302" s="31"/>
      <c r="H302" s="8"/>
      <c r="I302" s="8"/>
    </row>
    <row r="303" spans="2:9">
      <c r="B303" t="str">
        <v/>
      </c>
      <c r="C303" s="5"/>
      <c r="D303" s="5"/>
      <c r="E303" s="27"/>
      <c r="F303" s="5"/>
      <c r="G303" s="31"/>
      <c r="H303" s="8"/>
      <c r="I303" s="8"/>
    </row>
    <row r="304" spans="2:9">
      <c r="B304" t="str">
        <v/>
      </c>
      <c r="C304" s="5"/>
      <c r="D304" s="5"/>
      <c r="E304" s="27"/>
      <c r="F304" s="5"/>
      <c r="G304" s="31"/>
      <c r="H304" s="8"/>
      <c r="I304" s="8"/>
    </row>
    <row r="305" spans="2:9">
      <c r="B305" t="str">
        <v/>
      </c>
      <c r="C305" s="5"/>
      <c r="D305" s="5"/>
      <c r="E305" s="27"/>
      <c r="F305" s="5"/>
      <c r="G305" s="31"/>
      <c r="H305" s="8"/>
      <c r="I305" s="8"/>
    </row>
    <row r="306" spans="2:9">
      <c r="B306" t="str">
        <v/>
      </c>
      <c r="C306" s="5"/>
      <c r="D306" s="5"/>
      <c r="E306" s="27"/>
      <c r="F306" s="5"/>
      <c r="G306" s="31"/>
      <c r="H306" s="8"/>
      <c r="I306" s="8"/>
    </row>
    <row r="307" spans="2:9">
      <c r="B307" t="str">
        <v/>
      </c>
      <c r="C307" s="5"/>
      <c r="D307" s="5"/>
      <c r="E307" s="27"/>
      <c r="F307" s="5"/>
      <c r="G307" s="31"/>
      <c r="H307" s="8"/>
      <c r="I307" s="8"/>
    </row>
    <row r="308" spans="2:9">
      <c r="B308" t="str">
        <v/>
      </c>
      <c r="C308" s="5"/>
      <c r="D308" s="5"/>
      <c r="E308" s="27"/>
      <c r="F308" s="5"/>
      <c r="G308" s="31"/>
      <c r="H308" s="8"/>
      <c r="I308" s="8"/>
    </row>
    <row r="309" spans="2:9">
      <c r="B309" t="str">
        <v/>
      </c>
      <c r="C309" s="5"/>
      <c r="D309" s="5"/>
      <c r="E309" s="27"/>
      <c r="F309" s="5"/>
      <c r="G309" s="31"/>
      <c r="H309" s="8"/>
      <c r="I309" s="8"/>
    </row>
    <row r="310" spans="2:9">
      <c r="B310" t="str">
        <v/>
      </c>
      <c r="C310" s="5"/>
      <c r="D310" s="5"/>
      <c r="E310" s="27"/>
      <c r="F310" s="5"/>
      <c r="G310" s="31"/>
      <c r="H310" s="8"/>
      <c r="I310" s="8"/>
    </row>
    <row r="311" spans="2:9">
      <c r="B311" t="str">
        <v/>
      </c>
      <c r="C311" s="5"/>
      <c r="D311" s="5"/>
      <c r="E311" s="27"/>
      <c r="F311" s="5"/>
      <c r="G311" s="31"/>
      <c r="H311" s="8"/>
      <c r="I311" s="8"/>
    </row>
    <row r="312" spans="2:9">
      <c r="B312" t="str">
        <v/>
      </c>
      <c r="C312" s="5"/>
      <c r="D312" s="5"/>
      <c r="E312" s="27"/>
      <c r="F312" s="5"/>
      <c r="G312" s="31"/>
      <c r="H312" s="8"/>
      <c r="I312" s="8"/>
    </row>
    <row r="313" spans="2:9">
      <c r="B313" t="str">
        <v/>
      </c>
      <c r="C313" s="5"/>
      <c r="D313" s="5"/>
      <c r="E313" s="27"/>
      <c r="F313" s="5"/>
      <c r="G313" s="31"/>
      <c r="H313" s="8"/>
      <c r="I313" s="8"/>
    </row>
    <row r="314" spans="2:9">
      <c r="B314" t="str">
        <v/>
      </c>
      <c r="C314" s="5"/>
      <c r="D314" s="5"/>
      <c r="E314" s="27"/>
      <c r="F314" s="5"/>
      <c r="G314" s="31"/>
      <c r="H314" s="8"/>
      <c r="I314" s="8"/>
    </row>
    <row r="315" spans="2:9">
      <c r="B315" t="str">
        <v/>
      </c>
      <c r="C315" s="5"/>
      <c r="D315" s="5"/>
      <c r="E315" s="27"/>
      <c r="F315" s="5"/>
      <c r="G315" s="31"/>
      <c r="H315" s="8"/>
      <c r="I315" s="8"/>
    </row>
    <row r="316" spans="2:9">
      <c r="B316" t="str">
        <v/>
      </c>
      <c r="C316" s="5"/>
      <c r="D316" s="5"/>
      <c r="E316" s="27"/>
      <c r="F316" s="5"/>
      <c r="G316" s="31"/>
      <c r="H316" s="8"/>
      <c r="I316" s="8"/>
    </row>
    <row r="317" spans="2:9">
      <c r="B317" t="str">
        <v/>
      </c>
      <c r="C317" s="5"/>
      <c r="D317" s="5"/>
      <c r="E317" s="27"/>
      <c r="F317" s="5"/>
      <c r="G317" s="31"/>
      <c r="H317" s="8"/>
      <c r="I317" s="8"/>
    </row>
    <row r="318" spans="2:9">
      <c r="B318" t="str">
        <v/>
      </c>
      <c r="C318" s="5"/>
      <c r="D318" s="5"/>
      <c r="E318" s="27"/>
      <c r="F318" s="5"/>
      <c r="G318" s="31"/>
      <c r="H318" s="8"/>
      <c r="I318" s="8"/>
    </row>
    <row r="319" spans="2:9">
      <c r="B319" t="str">
        <v/>
      </c>
      <c r="C319" s="5"/>
      <c r="D319" s="5"/>
      <c r="E319" s="27"/>
      <c r="F319" s="5"/>
      <c r="G319" s="31"/>
      <c r="H319" s="8"/>
      <c r="I319" s="8"/>
    </row>
    <row r="320" spans="2:9">
      <c r="B320" t="str">
        <v/>
      </c>
      <c r="C320" s="5"/>
      <c r="D320" s="5"/>
      <c r="E320" s="27"/>
      <c r="F320" s="5"/>
      <c r="G320" s="31"/>
      <c r="H320" s="8"/>
      <c r="I320" s="8"/>
    </row>
    <row r="321" spans="2:9">
      <c r="B321" t="str">
        <v/>
      </c>
      <c r="C321" s="5"/>
      <c r="D321" s="5"/>
      <c r="E321" s="27"/>
      <c r="F321" s="5"/>
      <c r="G321" s="31"/>
      <c r="H321" s="8"/>
      <c r="I321" s="8"/>
    </row>
    <row r="322" spans="2:9">
      <c r="B322" t="str">
        <v/>
      </c>
      <c r="C322" s="5"/>
      <c r="D322" s="5"/>
      <c r="E322" s="27"/>
      <c r="F322" s="5"/>
      <c r="G322" s="31"/>
      <c r="H322" s="8"/>
      <c r="I322" s="8"/>
    </row>
    <row r="323" spans="2:9">
      <c r="B323" t="str">
        <v/>
      </c>
      <c r="C323" s="5"/>
      <c r="D323" s="5"/>
      <c r="E323" s="27"/>
      <c r="F323" s="5"/>
      <c r="G323" s="31"/>
      <c r="H323" s="8"/>
      <c r="I323" s="8"/>
    </row>
    <row r="324" spans="2:9">
      <c r="B324" t="str">
        <v/>
      </c>
      <c r="C324" s="5"/>
      <c r="D324" s="5"/>
      <c r="E324" s="27"/>
      <c r="F324" s="5"/>
      <c r="G324" s="31"/>
      <c r="H324" s="8"/>
      <c r="I324" s="8"/>
    </row>
    <row r="325" spans="2:9">
      <c r="B325" t="str">
        <v/>
      </c>
      <c r="C325" s="5"/>
      <c r="D325" s="5"/>
      <c r="E325" s="27"/>
      <c r="F325" s="5"/>
      <c r="G325" s="31"/>
      <c r="H325" s="8"/>
      <c r="I325" s="8"/>
    </row>
    <row r="326" spans="2:9">
      <c r="B326" t="str">
        <v/>
      </c>
      <c r="C326" s="5"/>
      <c r="D326" s="5"/>
      <c r="E326" s="27"/>
      <c r="F326" s="5"/>
      <c r="G326" s="31"/>
      <c r="H326" s="8"/>
      <c r="I326" s="8"/>
    </row>
    <row r="327" spans="2:9">
      <c r="B327" t="str">
        <v/>
      </c>
      <c r="C327" s="5"/>
      <c r="D327" s="5"/>
      <c r="E327" s="27"/>
      <c r="F327" s="5"/>
      <c r="G327" s="31"/>
      <c r="H327" s="8"/>
      <c r="I327" s="8"/>
    </row>
    <row r="328" spans="2:9">
      <c r="B328" t="str">
        <v/>
      </c>
      <c r="E328" s="27"/>
      <c r="F328" s="5"/>
    </row>
    <row r="329" spans="2:9">
      <c r="B329" t="str">
        <v/>
      </c>
      <c r="E329" s="27"/>
      <c r="F329" s="5"/>
    </row>
    <row r="330" spans="2:9">
      <c r="B330" t="str">
        <v/>
      </c>
      <c r="C330" s="5"/>
      <c r="D330" s="5"/>
      <c r="E330" s="27"/>
      <c r="F330" s="5"/>
      <c r="G330" s="31"/>
      <c r="H330" s="8"/>
      <c r="I330" s="8"/>
    </row>
    <row r="331" spans="2:9">
      <c r="B331" t="str">
        <v/>
      </c>
      <c r="C331" s="5"/>
      <c r="D331" s="5"/>
      <c r="E331" s="27"/>
      <c r="F331" s="5"/>
      <c r="G331" s="31"/>
      <c r="H331" s="8"/>
      <c r="I331" s="8"/>
    </row>
    <row r="332" spans="2:9">
      <c r="B332" t="str">
        <v/>
      </c>
      <c r="C332" s="5"/>
      <c r="D332" s="5"/>
      <c r="E332" s="27"/>
      <c r="F332" s="5"/>
      <c r="G332" s="31"/>
      <c r="H332" s="8"/>
      <c r="I332" s="8"/>
    </row>
    <row r="333" spans="2:9">
      <c r="B333" t="str">
        <v/>
      </c>
      <c r="C333" s="5"/>
      <c r="D333" s="5"/>
      <c r="E333" s="27"/>
      <c r="F333" s="5"/>
      <c r="G333" s="31"/>
      <c r="H333" s="8"/>
      <c r="I333" s="8"/>
    </row>
    <row r="334" spans="2:9">
      <c r="B334" t="str">
        <v/>
      </c>
      <c r="C334" s="5"/>
      <c r="D334" s="5"/>
      <c r="E334" s="27"/>
      <c r="F334" s="5"/>
      <c r="G334" s="31"/>
      <c r="H334" s="8"/>
      <c r="I334" s="8"/>
    </row>
    <row r="335" spans="2:9">
      <c r="B335" t="str">
        <v/>
      </c>
      <c r="C335" s="5"/>
      <c r="D335" s="5"/>
      <c r="E335" s="27"/>
      <c r="F335" s="5"/>
      <c r="G335" s="31"/>
      <c r="H335" s="8"/>
      <c r="I335" s="8"/>
    </row>
    <row r="336" spans="2:9">
      <c r="B336" t="str">
        <v/>
      </c>
      <c r="C336" s="5"/>
      <c r="D336" s="5"/>
      <c r="E336" s="27"/>
      <c r="F336" s="5"/>
      <c r="G336" s="31"/>
      <c r="H336" s="8"/>
      <c r="I336" s="8"/>
    </row>
    <row r="337" spans="2:9">
      <c r="B337" t="str">
        <v/>
      </c>
      <c r="C337" s="5"/>
      <c r="D337" s="5"/>
      <c r="E337" s="27"/>
      <c r="F337" s="5"/>
      <c r="G337" s="31"/>
      <c r="H337" s="8"/>
      <c r="I337" s="8"/>
    </row>
    <row r="338" spans="2:9">
      <c r="B338" t="str">
        <v/>
      </c>
      <c r="C338" s="5"/>
      <c r="D338" s="5"/>
      <c r="E338" s="27"/>
      <c r="F338" s="5"/>
      <c r="G338" s="31"/>
      <c r="H338" s="8"/>
      <c r="I338" s="8"/>
    </row>
    <row r="339" spans="2:9">
      <c r="B339" t="str">
        <v/>
      </c>
      <c r="C339" s="5"/>
      <c r="D339" s="5"/>
      <c r="E339" s="27"/>
      <c r="F339" s="5"/>
      <c r="G339" s="31"/>
      <c r="H339" s="8"/>
      <c r="I339" s="8"/>
    </row>
    <row r="340" spans="2:9">
      <c r="B340" t="str">
        <v/>
      </c>
      <c r="C340" s="5"/>
      <c r="D340" s="5"/>
      <c r="E340" s="27"/>
      <c r="F340" s="5"/>
      <c r="G340" s="31"/>
      <c r="H340" s="8"/>
      <c r="I340" s="8"/>
    </row>
    <row r="341" spans="2:9">
      <c r="B341" t="str">
        <v/>
      </c>
      <c r="C341" s="5"/>
      <c r="D341" s="5"/>
      <c r="E341" s="27"/>
      <c r="F341" s="5"/>
      <c r="G341" s="31"/>
      <c r="H341" s="8"/>
      <c r="I341" s="8"/>
    </row>
    <row r="342" spans="2:9">
      <c r="B342" t="str">
        <v/>
      </c>
      <c r="C342" s="5"/>
      <c r="D342" s="5"/>
      <c r="E342" s="27"/>
      <c r="F342" s="5"/>
      <c r="G342" s="31"/>
      <c r="H342" s="8"/>
      <c r="I342" s="8"/>
    </row>
    <row r="343" spans="2:9">
      <c r="B343" t="str">
        <v/>
      </c>
      <c r="C343" s="5"/>
      <c r="D343" s="5"/>
      <c r="E343" s="27"/>
      <c r="F343" s="5"/>
      <c r="G343" s="31"/>
      <c r="H343" s="8"/>
      <c r="I343" s="8"/>
    </row>
    <row r="344" spans="2:9">
      <c r="B344" t="str">
        <v/>
      </c>
      <c r="C344" s="5"/>
      <c r="D344" s="5"/>
      <c r="E344" s="27"/>
      <c r="F344" s="5"/>
      <c r="G344" s="31"/>
      <c r="H344" s="8"/>
      <c r="I344" s="8"/>
    </row>
    <row r="345" spans="2:9">
      <c r="B345" t="str">
        <v/>
      </c>
      <c r="C345" s="5"/>
      <c r="D345" s="5"/>
      <c r="E345" s="27"/>
      <c r="F345" s="5"/>
      <c r="G345" s="31"/>
      <c r="H345" s="8"/>
      <c r="I345" s="8"/>
    </row>
    <row r="346" spans="2:9">
      <c r="B346" t="str">
        <v/>
      </c>
      <c r="C346" s="5"/>
      <c r="D346" s="5"/>
      <c r="E346" s="27"/>
      <c r="F346" s="5"/>
      <c r="G346" s="31"/>
      <c r="H346" s="8"/>
      <c r="I346" s="8"/>
    </row>
    <row r="347" spans="2:9">
      <c r="B347" t="str">
        <v/>
      </c>
      <c r="C347" s="5"/>
      <c r="D347" s="5"/>
      <c r="E347" s="27"/>
      <c r="F347" s="5"/>
      <c r="G347" s="31"/>
      <c r="H347" s="8"/>
      <c r="I347" s="8"/>
    </row>
    <row r="348" spans="2:9">
      <c r="B348" t="str">
        <v/>
      </c>
      <c r="C348" s="5"/>
      <c r="D348" s="5"/>
      <c r="E348" s="27"/>
      <c r="F348" s="5"/>
      <c r="G348" s="31"/>
      <c r="H348" s="8"/>
      <c r="I348" s="8"/>
    </row>
    <row r="349" spans="2:9">
      <c r="B349" t="str">
        <v/>
      </c>
      <c r="C349" s="5"/>
      <c r="D349" s="5"/>
      <c r="E349" s="27"/>
      <c r="F349" s="5"/>
      <c r="G349" s="31"/>
      <c r="H349" s="8"/>
      <c r="I349" s="8"/>
    </row>
    <row r="350" spans="2:9">
      <c r="B350" t="str">
        <v/>
      </c>
      <c r="C350" s="5"/>
      <c r="D350" s="5"/>
      <c r="E350" s="27"/>
      <c r="F350" s="5"/>
      <c r="G350" s="31"/>
      <c r="H350" s="8"/>
      <c r="I350" s="8"/>
    </row>
    <row r="351" spans="2:9">
      <c r="B351" t="str">
        <v/>
      </c>
      <c r="C351" s="5"/>
      <c r="D351" s="5"/>
      <c r="E351" s="27"/>
      <c r="F351" s="5"/>
      <c r="G351" s="31"/>
      <c r="H351" s="8"/>
      <c r="I351" s="8"/>
    </row>
    <row r="352" spans="2:9">
      <c r="B352" t="str">
        <v/>
      </c>
      <c r="C352" s="5"/>
      <c r="D352" s="5"/>
      <c r="E352" s="27"/>
      <c r="F352" s="5"/>
      <c r="G352" s="31"/>
      <c r="H352" s="8"/>
      <c r="I352" s="8"/>
    </row>
    <row r="353" spans="2:9">
      <c r="B353" t="str">
        <v/>
      </c>
      <c r="C353" s="5"/>
      <c r="D353" s="5"/>
      <c r="E353" s="27"/>
      <c r="F353" s="5"/>
      <c r="G353" s="31"/>
      <c r="H353" s="8"/>
      <c r="I353" s="8"/>
    </row>
    <row r="354" spans="2:9">
      <c r="B354" t="str">
        <v/>
      </c>
      <c r="C354" s="5"/>
      <c r="D354" s="5"/>
      <c r="E354" s="27"/>
      <c r="F354" s="5"/>
      <c r="G354" s="31"/>
      <c r="H354" s="8"/>
      <c r="I354" s="8"/>
    </row>
    <row r="355" spans="2:9">
      <c r="B355" t="str">
        <v/>
      </c>
      <c r="C355" s="5"/>
      <c r="D355" s="5"/>
      <c r="E355" s="27"/>
      <c r="F355" s="5"/>
      <c r="G355" s="31"/>
      <c r="H355" s="8"/>
      <c r="I355" s="8"/>
    </row>
    <row r="356" spans="2:9">
      <c r="B356" t="str">
        <v/>
      </c>
      <c r="C356" s="5"/>
      <c r="D356" s="5"/>
      <c r="E356" s="27"/>
      <c r="F356" s="5"/>
      <c r="G356" s="31"/>
      <c r="H356" s="8"/>
      <c r="I356" s="8"/>
    </row>
    <row r="357" spans="2:9">
      <c r="B357" t="str">
        <v/>
      </c>
      <c r="C357" s="5"/>
      <c r="D357" s="5"/>
      <c r="E357" s="27"/>
      <c r="F357" s="5"/>
      <c r="G357" s="31"/>
      <c r="H357" s="8"/>
      <c r="I357" s="8"/>
    </row>
    <row r="358" spans="2:9">
      <c r="B358" t="str">
        <v/>
      </c>
      <c r="C358" s="5"/>
      <c r="D358" s="5"/>
      <c r="E358" s="27"/>
      <c r="F358" s="5"/>
      <c r="G358" s="31"/>
      <c r="H358" s="8"/>
      <c r="I358" s="8"/>
    </row>
    <row r="359" spans="2:9">
      <c r="B359" t="str">
        <v/>
      </c>
      <c r="C359" s="5"/>
      <c r="D359" s="5"/>
      <c r="E359" s="27"/>
      <c r="F359" s="5"/>
      <c r="G359" s="31"/>
      <c r="H359" s="8"/>
      <c r="I359" s="8"/>
    </row>
    <row r="360" spans="2:9">
      <c r="B360" t="str">
        <v/>
      </c>
      <c r="C360" s="5"/>
      <c r="D360" s="5"/>
      <c r="E360" s="27"/>
      <c r="F360" s="5"/>
      <c r="G360" s="31"/>
      <c r="H360" s="8"/>
      <c r="I360" s="8"/>
    </row>
    <row r="361" spans="2:9">
      <c r="B361" t="str">
        <v/>
      </c>
      <c r="C361" s="5"/>
      <c r="D361" s="5"/>
      <c r="E361" s="27"/>
      <c r="F361" s="5"/>
      <c r="G361" s="31"/>
      <c r="H361" s="8"/>
      <c r="I361" s="8"/>
    </row>
    <row r="362" spans="2:9">
      <c r="B362" t="str">
        <v/>
      </c>
      <c r="C362" s="5"/>
      <c r="D362" s="5"/>
      <c r="E362" s="27"/>
      <c r="F362" s="5"/>
      <c r="G362" s="31"/>
      <c r="H362" s="8"/>
      <c r="I362" s="8"/>
    </row>
    <row r="363" spans="2:9">
      <c r="B363" t="str">
        <v/>
      </c>
      <c r="C363" s="5"/>
      <c r="D363" s="5"/>
      <c r="E363" s="27"/>
      <c r="F363" s="5"/>
      <c r="G363" s="31"/>
      <c r="H363" s="8"/>
      <c r="I363" s="8"/>
    </row>
    <row r="364" spans="2:9">
      <c r="B364" t="str">
        <v/>
      </c>
      <c r="C364" s="5"/>
      <c r="D364" s="5"/>
      <c r="E364" s="27"/>
      <c r="F364" s="5"/>
      <c r="G364" s="31"/>
      <c r="H364" s="8"/>
      <c r="I364" s="8"/>
    </row>
    <row r="365" spans="2:9">
      <c r="B365" t="str">
        <v/>
      </c>
      <c r="C365" s="5"/>
      <c r="D365" s="5"/>
      <c r="E365" s="27"/>
      <c r="F365" s="5"/>
      <c r="G365" s="31"/>
      <c r="H365" s="8"/>
      <c r="I365" s="8"/>
    </row>
    <row r="366" spans="2:9">
      <c r="B366" t="str">
        <v/>
      </c>
      <c r="C366" s="5"/>
      <c r="D366" s="5"/>
      <c r="E366" s="27"/>
      <c r="F366" s="5"/>
      <c r="G366" s="31"/>
      <c r="H366" s="8"/>
      <c r="I366" s="8"/>
    </row>
    <row r="367" spans="2:9">
      <c r="B367" t="str">
        <v/>
      </c>
      <c r="C367" s="5"/>
      <c r="D367" s="5"/>
      <c r="E367" s="27"/>
      <c r="F367" s="5"/>
      <c r="G367" s="31"/>
      <c r="H367" s="8"/>
      <c r="I367" s="8"/>
    </row>
    <row r="368" spans="2:9">
      <c r="B368" t="str">
        <v/>
      </c>
      <c r="C368" s="5"/>
      <c r="D368" s="5"/>
      <c r="E368" s="27"/>
      <c r="F368" s="5"/>
      <c r="G368" s="31"/>
      <c r="H368" s="8"/>
      <c r="I368" s="8"/>
    </row>
    <row r="369" spans="2:9">
      <c r="B369" t="str">
        <v/>
      </c>
      <c r="E369" s="27"/>
      <c r="F369" s="5"/>
    </row>
    <row r="370" spans="2:9">
      <c r="B370" t="str">
        <v/>
      </c>
      <c r="E370" s="27"/>
      <c r="F370" s="5"/>
    </row>
    <row r="371" spans="2:9">
      <c r="B371" t="str">
        <v/>
      </c>
      <c r="C371" s="5"/>
      <c r="D371" s="5"/>
      <c r="E371" s="27"/>
      <c r="F371" s="5"/>
      <c r="G371" s="31"/>
      <c r="H371" s="8"/>
      <c r="I371" s="8"/>
    </row>
    <row r="372" spans="2:9">
      <c r="B372" t="str">
        <v/>
      </c>
      <c r="C372" s="5"/>
      <c r="D372" s="5"/>
      <c r="E372" s="27"/>
      <c r="F372" s="5"/>
      <c r="G372" s="31"/>
      <c r="H372" s="8"/>
      <c r="I372" s="8"/>
    </row>
    <row r="373" spans="2:9">
      <c r="B373" t="str">
        <v/>
      </c>
      <c r="C373" s="5"/>
      <c r="D373" s="5"/>
      <c r="E373" s="27"/>
      <c r="F373" s="5"/>
      <c r="G373" s="31"/>
      <c r="H373" s="8"/>
      <c r="I373" s="8"/>
    </row>
    <row r="374" spans="2:9">
      <c r="B374" t="str">
        <v/>
      </c>
      <c r="C374" s="5"/>
      <c r="D374" s="5"/>
      <c r="E374" s="27"/>
      <c r="F374" s="5"/>
      <c r="G374" s="31"/>
      <c r="H374" s="8"/>
      <c r="I374" s="8"/>
    </row>
    <row r="375" spans="2:9">
      <c r="B375" t="str">
        <v/>
      </c>
      <c r="C375" s="5"/>
      <c r="D375" s="5"/>
      <c r="E375" s="27"/>
      <c r="F375" s="5"/>
      <c r="G375" s="31"/>
      <c r="H375" s="8"/>
      <c r="I375" s="8"/>
    </row>
    <row r="376" spans="2:9">
      <c r="B376" t="str">
        <v/>
      </c>
      <c r="C376" s="5"/>
      <c r="D376" s="5"/>
      <c r="E376" s="27"/>
      <c r="F376" s="5"/>
      <c r="G376" s="31"/>
      <c r="H376" s="8"/>
      <c r="I376" s="8"/>
    </row>
    <row r="377" spans="2:9">
      <c r="B377" t="str">
        <v/>
      </c>
      <c r="C377" s="5"/>
      <c r="D377" s="5"/>
      <c r="E377" s="27"/>
      <c r="F377" s="5"/>
      <c r="G377" s="31"/>
      <c r="H377" s="8"/>
      <c r="I377" s="8"/>
    </row>
    <row r="378" spans="2:9">
      <c r="B378" t="str">
        <v/>
      </c>
      <c r="C378" s="5"/>
      <c r="D378" s="5"/>
      <c r="E378" s="27"/>
      <c r="F378" s="5"/>
      <c r="G378" s="31"/>
      <c r="H378" s="8"/>
      <c r="I378" s="8"/>
    </row>
    <row r="379" spans="2:9">
      <c r="B379" t="str">
        <v/>
      </c>
      <c r="C379" s="5"/>
      <c r="D379" s="5"/>
      <c r="E379" s="27"/>
      <c r="F379" s="5"/>
      <c r="G379" s="31"/>
      <c r="H379" s="8"/>
      <c r="I379" s="8"/>
    </row>
    <row r="380" spans="2:9">
      <c r="B380" t="str">
        <v/>
      </c>
      <c r="C380" s="5"/>
      <c r="D380" s="5"/>
      <c r="E380" s="27"/>
      <c r="F380" s="5"/>
      <c r="G380" s="31"/>
      <c r="H380" s="8"/>
      <c r="I380" s="8"/>
    </row>
    <row r="381" spans="2:9">
      <c r="B381" t="str">
        <v/>
      </c>
      <c r="C381" s="5"/>
      <c r="D381" s="5"/>
      <c r="E381" s="27"/>
      <c r="F381" s="5"/>
      <c r="G381" s="31"/>
      <c r="H381" s="8"/>
      <c r="I381" s="8"/>
    </row>
    <row r="382" spans="2:9">
      <c r="B382" t="str">
        <v/>
      </c>
      <c r="C382" s="5"/>
      <c r="D382" s="5"/>
      <c r="E382" s="27"/>
      <c r="F382" s="5"/>
      <c r="G382" s="31"/>
      <c r="H382" s="8"/>
      <c r="I382" s="8"/>
    </row>
    <row r="383" spans="2:9">
      <c r="B383" t="str">
        <v/>
      </c>
      <c r="C383" s="5"/>
      <c r="D383" s="5"/>
      <c r="E383" s="27"/>
      <c r="F383" s="5"/>
      <c r="G383" s="31"/>
      <c r="H383" s="8"/>
      <c r="I383" s="8"/>
    </row>
    <row r="384" spans="2:9">
      <c r="B384" t="str">
        <v/>
      </c>
      <c r="C384" s="5"/>
      <c r="D384" s="5"/>
      <c r="E384" s="27"/>
      <c r="F384" s="5"/>
      <c r="G384" s="31"/>
      <c r="H384" s="8"/>
      <c r="I384" s="8"/>
    </row>
    <row r="385" spans="2:9">
      <c r="B385" t="str">
        <v/>
      </c>
      <c r="C385" s="5"/>
      <c r="D385" s="5"/>
      <c r="E385" s="27"/>
      <c r="F385" s="5"/>
      <c r="G385" s="31"/>
      <c r="H385" s="8"/>
      <c r="I385" s="8"/>
    </row>
    <row r="386" spans="2:9">
      <c r="B386" t="str">
        <v/>
      </c>
      <c r="C386" s="5"/>
      <c r="D386" s="5"/>
      <c r="E386" s="27"/>
      <c r="F386" s="5"/>
      <c r="G386" s="31"/>
      <c r="H386" s="8"/>
      <c r="I386" s="8"/>
    </row>
    <row r="387" spans="2:9">
      <c r="B387" t="str">
        <v/>
      </c>
      <c r="C387" s="5"/>
      <c r="D387" s="5"/>
      <c r="E387" s="27"/>
      <c r="F387" s="5"/>
      <c r="G387" s="31"/>
      <c r="H387" s="8"/>
      <c r="I387" s="8"/>
    </row>
    <row r="388" spans="2:9">
      <c r="B388" t="str">
        <v/>
      </c>
      <c r="C388" s="5"/>
      <c r="D388" s="5"/>
      <c r="E388" s="27"/>
      <c r="F388" s="5"/>
      <c r="G388" s="31"/>
      <c r="H388" s="8"/>
      <c r="I388" s="8"/>
    </row>
    <row r="389" spans="2:9">
      <c r="B389" t="str">
        <v/>
      </c>
      <c r="C389" s="5"/>
      <c r="D389" s="5"/>
      <c r="E389" s="27"/>
      <c r="F389" s="5"/>
      <c r="G389" s="31"/>
      <c r="H389" s="8"/>
      <c r="I389" s="8"/>
    </row>
    <row r="390" spans="2:9">
      <c r="B390" t="str">
        <v/>
      </c>
      <c r="C390" s="5"/>
      <c r="D390" s="5"/>
      <c r="E390" s="27"/>
      <c r="F390" s="5"/>
      <c r="G390" s="31"/>
      <c r="H390" s="8"/>
      <c r="I390" s="8"/>
    </row>
    <row r="391" spans="2:9">
      <c r="B391" t="str">
        <v/>
      </c>
      <c r="C391" s="5"/>
      <c r="D391" s="5"/>
      <c r="E391" s="27"/>
      <c r="F391" s="5"/>
      <c r="G391" s="31"/>
      <c r="H391" s="8"/>
      <c r="I391" s="8"/>
    </row>
    <row r="392" spans="2:9">
      <c r="B392" t="str">
        <v/>
      </c>
      <c r="C392" s="5"/>
      <c r="D392" s="5"/>
      <c r="E392" s="27"/>
      <c r="F392" s="5"/>
      <c r="G392" s="31"/>
      <c r="H392" s="8"/>
      <c r="I392" s="8"/>
    </row>
    <row r="393" spans="2:9">
      <c r="B393" t="str">
        <v/>
      </c>
      <c r="C393" s="5"/>
      <c r="D393" s="5"/>
      <c r="E393" s="27"/>
      <c r="F393" s="5"/>
      <c r="G393" s="31"/>
      <c r="H393" s="8"/>
      <c r="I393" s="8"/>
    </row>
    <row r="394" spans="2:9">
      <c r="B394" t="str">
        <v/>
      </c>
      <c r="C394" s="5"/>
      <c r="D394" s="5"/>
      <c r="E394" s="27"/>
      <c r="F394" s="5"/>
      <c r="G394" s="31"/>
      <c r="H394" s="8"/>
      <c r="I394" s="8"/>
    </row>
    <row r="395" spans="2:9">
      <c r="B395" t="str">
        <v/>
      </c>
      <c r="C395" s="5"/>
      <c r="D395" s="5"/>
      <c r="E395" s="27"/>
      <c r="F395" s="5"/>
      <c r="G395" s="31"/>
      <c r="H395" s="8"/>
      <c r="I395" s="8"/>
    </row>
    <row r="396" spans="2:9">
      <c r="B396" t="str">
        <v/>
      </c>
      <c r="C396" s="5"/>
      <c r="D396" s="5"/>
      <c r="E396" s="27"/>
      <c r="F396" s="5"/>
      <c r="G396" s="31"/>
      <c r="H396" s="8"/>
      <c r="I396" s="8"/>
    </row>
    <row r="397" spans="2:9">
      <c r="B397" t="str">
        <v/>
      </c>
      <c r="C397" s="5"/>
      <c r="D397" s="5"/>
      <c r="E397" s="27"/>
      <c r="F397" s="5"/>
      <c r="G397" s="31"/>
      <c r="H397" s="8"/>
      <c r="I397" s="8"/>
    </row>
    <row r="398" spans="2:9">
      <c r="B398" t="str">
        <v/>
      </c>
      <c r="C398" s="5"/>
      <c r="D398" s="5"/>
      <c r="E398" s="27"/>
      <c r="F398" s="5"/>
      <c r="G398" s="31"/>
      <c r="H398" s="8"/>
      <c r="I398" s="8"/>
    </row>
    <row r="399" spans="2:9">
      <c r="B399" t="str">
        <v/>
      </c>
      <c r="C399" s="5"/>
      <c r="D399" s="5"/>
      <c r="E399" s="27"/>
      <c r="F399" s="5"/>
      <c r="G399" s="31"/>
      <c r="H399" s="8"/>
      <c r="I399" s="8"/>
    </row>
    <row r="400" spans="2:9">
      <c r="B400" t="str">
        <v/>
      </c>
      <c r="C400" s="5"/>
      <c r="D400" s="5"/>
      <c r="E400" s="27"/>
      <c r="F400" s="5"/>
      <c r="G400" s="31"/>
      <c r="H400" s="8"/>
      <c r="I400" s="8"/>
    </row>
    <row r="401" spans="2:9">
      <c r="B401" t="str">
        <v/>
      </c>
      <c r="C401" s="5"/>
      <c r="D401" s="5"/>
      <c r="E401" s="27"/>
      <c r="F401" s="5"/>
      <c r="G401" s="31"/>
      <c r="H401" s="8"/>
      <c r="I401" s="8"/>
    </row>
    <row r="402" spans="2:9">
      <c r="B402" t="str">
        <v/>
      </c>
      <c r="C402" s="5"/>
      <c r="D402" s="5"/>
      <c r="E402" s="27"/>
      <c r="F402" s="5"/>
      <c r="G402" s="31"/>
      <c r="H402" s="8"/>
      <c r="I402" s="8"/>
    </row>
    <row r="403" spans="2:9">
      <c r="B403" t="str">
        <v/>
      </c>
      <c r="C403" s="5"/>
      <c r="D403" s="5"/>
      <c r="E403" s="27"/>
      <c r="F403" s="5"/>
      <c r="G403" s="31"/>
      <c r="H403" s="8"/>
      <c r="I403" s="8"/>
    </row>
    <row r="404" spans="2:9">
      <c r="B404" t="str">
        <v/>
      </c>
      <c r="C404" s="5"/>
      <c r="D404" s="5"/>
      <c r="E404" s="27"/>
      <c r="F404" s="5"/>
      <c r="G404" s="31"/>
      <c r="H404" s="8"/>
      <c r="I404" s="8"/>
    </row>
    <row r="405" spans="2:9">
      <c r="B405" t="str">
        <v/>
      </c>
      <c r="C405" s="5"/>
      <c r="D405" s="5"/>
      <c r="E405" s="27"/>
      <c r="F405" s="5"/>
      <c r="G405" s="31"/>
      <c r="H405" s="8"/>
      <c r="I405" s="8"/>
    </row>
    <row r="406" spans="2:9">
      <c r="B406" t="str">
        <v/>
      </c>
      <c r="C406" s="5"/>
      <c r="D406" s="5"/>
      <c r="E406" s="27"/>
      <c r="F406" s="5"/>
      <c r="G406" s="31"/>
      <c r="H406" s="8"/>
      <c r="I406" s="8"/>
    </row>
    <row r="407" spans="2:9">
      <c r="B407" t="str">
        <v/>
      </c>
      <c r="C407" s="5"/>
      <c r="D407" s="5"/>
      <c r="E407" s="27"/>
      <c r="F407" s="5"/>
      <c r="G407" s="31"/>
      <c r="H407" s="8"/>
      <c r="I407" s="8"/>
    </row>
    <row r="408" spans="2:9">
      <c r="B408" t="str">
        <v/>
      </c>
      <c r="C408" s="5"/>
      <c r="D408" s="5"/>
      <c r="E408" s="27"/>
      <c r="F408" s="5"/>
      <c r="G408" s="31"/>
      <c r="H408" s="8"/>
      <c r="I408" s="8"/>
    </row>
    <row r="409" spans="2:9">
      <c r="B409" t="str">
        <v/>
      </c>
      <c r="C409" s="5"/>
      <c r="D409" s="5"/>
      <c r="E409" s="27"/>
      <c r="F409" s="5"/>
      <c r="G409" s="31"/>
      <c r="H409" s="8"/>
      <c r="I409" s="8"/>
    </row>
    <row r="410" spans="2:9">
      <c r="B410" t="str">
        <v/>
      </c>
      <c r="E410" s="27"/>
      <c r="F410" s="5"/>
    </row>
    <row r="411" spans="2:9">
      <c r="B411" t="str">
        <v/>
      </c>
      <c r="E411" s="27"/>
      <c r="F411" s="5"/>
    </row>
    <row r="412" spans="2:9">
      <c r="B412" t="str">
        <v/>
      </c>
      <c r="C412" s="5"/>
      <c r="D412" s="5"/>
      <c r="E412" s="27"/>
      <c r="F412" s="5"/>
      <c r="G412" s="31"/>
      <c r="H412" s="8"/>
      <c r="I412" s="8"/>
    </row>
    <row r="413" spans="2:9">
      <c r="B413" t="str">
        <v/>
      </c>
      <c r="C413" s="5"/>
      <c r="D413" s="5"/>
      <c r="E413" s="27"/>
      <c r="F413" s="5"/>
      <c r="G413" s="31"/>
      <c r="H413" s="8"/>
      <c r="I413" s="8"/>
    </row>
    <row r="414" spans="2:9">
      <c r="B414" t="str">
        <v/>
      </c>
      <c r="C414" s="5"/>
      <c r="D414" s="5"/>
      <c r="E414" s="27"/>
      <c r="F414" s="5"/>
      <c r="G414" s="31"/>
      <c r="H414" s="8"/>
      <c r="I414" s="8"/>
    </row>
    <row r="415" spans="2:9">
      <c r="B415" t="str">
        <v/>
      </c>
      <c r="C415" s="5"/>
      <c r="D415" s="5"/>
      <c r="E415" s="27"/>
      <c r="F415" s="5"/>
      <c r="G415" s="31"/>
      <c r="H415" s="8"/>
      <c r="I415" s="8"/>
    </row>
    <row r="416" spans="2:9">
      <c r="B416" t="str">
        <v/>
      </c>
      <c r="C416" s="5"/>
      <c r="D416" s="5"/>
      <c r="E416" s="27"/>
      <c r="F416" s="5"/>
      <c r="G416" s="31"/>
      <c r="H416" s="8"/>
      <c r="I416" s="8"/>
    </row>
    <row r="417" spans="2:9">
      <c r="B417" t="str">
        <v/>
      </c>
      <c r="C417" s="5"/>
      <c r="D417" s="5"/>
      <c r="E417" s="27"/>
      <c r="F417" s="5"/>
      <c r="G417" s="31"/>
      <c r="H417" s="8"/>
      <c r="I417" s="8"/>
    </row>
    <row r="418" spans="2:9">
      <c r="B418" t="str">
        <v/>
      </c>
      <c r="C418" s="5"/>
      <c r="D418" s="5"/>
      <c r="E418" s="27"/>
      <c r="F418" s="5"/>
      <c r="G418" s="31"/>
      <c r="H418" s="8"/>
      <c r="I418" s="8"/>
    </row>
    <row r="419" spans="2:9">
      <c r="B419" t="str">
        <v/>
      </c>
      <c r="C419" s="5"/>
      <c r="D419" s="5"/>
      <c r="E419" s="27"/>
      <c r="F419" s="5"/>
      <c r="G419" s="31"/>
      <c r="H419" s="8"/>
      <c r="I419" s="8"/>
    </row>
    <row r="420" spans="2:9">
      <c r="B420" t="str">
        <v/>
      </c>
      <c r="C420" s="5"/>
      <c r="D420" s="5"/>
      <c r="E420" s="27"/>
      <c r="F420" s="5"/>
      <c r="G420" s="31"/>
      <c r="H420" s="8"/>
      <c r="I420" s="8"/>
    </row>
    <row r="421" spans="2:9">
      <c r="B421" t="str">
        <v/>
      </c>
      <c r="C421" s="5"/>
      <c r="D421" s="5"/>
      <c r="E421" s="27"/>
      <c r="F421" s="5"/>
      <c r="G421" s="31"/>
      <c r="H421" s="8"/>
      <c r="I421" s="8"/>
    </row>
    <row r="422" spans="2:9">
      <c r="B422" t="str">
        <v/>
      </c>
      <c r="C422" s="5"/>
      <c r="D422" s="5"/>
      <c r="E422" s="27"/>
      <c r="F422" s="5"/>
      <c r="G422" s="31"/>
      <c r="H422" s="8"/>
      <c r="I422" s="8"/>
    </row>
    <row r="423" spans="2:9">
      <c r="B423" t="str">
        <v/>
      </c>
      <c r="C423" s="5"/>
      <c r="D423" s="5"/>
      <c r="E423" s="27"/>
      <c r="F423" s="5"/>
      <c r="G423" s="31"/>
      <c r="H423" s="8"/>
      <c r="I423" s="8"/>
    </row>
    <row r="424" spans="2:9">
      <c r="B424" t="str">
        <v/>
      </c>
      <c r="C424" s="5"/>
      <c r="D424" s="5"/>
      <c r="E424" s="27"/>
      <c r="F424" s="5"/>
      <c r="G424" s="31"/>
      <c r="H424" s="8"/>
      <c r="I424" s="8"/>
    </row>
    <row r="425" spans="2:9">
      <c r="B425" t="str">
        <v/>
      </c>
      <c r="C425" s="5"/>
      <c r="D425" s="5"/>
      <c r="E425" s="27"/>
      <c r="F425" s="5"/>
      <c r="G425" s="31"/>
      <c r="H425" s="8"/>
      <c r="I425" s="8"/>
    </row>
    <row r="426" spans="2:9">
      <c r="B426" t="str">
        <v/>
      </c>
      <c r="C426" s="5"/>
      <c r="D426" s="5"/>
      <c r="E426" s="27"/>
      <c r="F426" s="5"/>
      <c r="G426" s="31"/>
      <c r="H426" s="8"/>
      <c r="I426" s="8"/>
    </row>
    <row r="427" spans="2:9">
      <c r="B427" t="str">
        <v/>
      </c>
      <c r="C427" s="5"/>
      <c r="D427" s="5"/>
      <c r="E427" s="27"/>
      <c r="F427" s="5"/>
      <c r="G427" s="31"/>
      <c r="H427" s="8"/>
      <c r="I427" s="8"/>
    </row>
    <row r="428" spans="2:9">
      <c r="B428" t="str">
        <v/>
      </c>
      <c r="C428" s="5"/>
      <c r="D428" s="5"/>
      <c r="E428" s="27"/>
      <c r="F428" s="5"/>
      <c r="G428" s="31"/>
      <c r="H428" s="8"/>
      <c r="I428" s="8"/>
    </row>
    <row r="429" spans="2:9">
      <c r="B429" t="str">
        <v/>
      </c>
      <c r="C429" s="5"/>
      <c r="D429" s="5"/>
      <c r="E429" s="27"/>
      <c r="F429" s="5"/>
      <c r="G429" s="31"/>
      <c r="H429" s="8"/>
      <c r="I429" s="8"/>
    </row>
    <row r="430" spans="2:9">
      <c r="B430" t="str">
        <v/>
      </c>
      <c r="C430" s="5"/>
      <c r="D430" s="5"/>
      <c r="E430" s="27"/>
      <c r="F430" s="5"/>
      <c r="G430" s="31"/>
      <c r="H430" s="8"/>
      <c r="I430" s="8"/>
    </row>
    <row r="431" spans="2:9">
      <c r="B431" t="str">
        <v/>
      </c>
      <c r="C431" s="5"/>
      <c r="D431" s="5"/>
      <c r="E431" s="27"/>
      <c r="F431" s="5"/>
      <c r="G431" s="31"/>
      <c r="H431" s="8"/>
      <c r="I431" s="8"/>
    </row>
    <row r="432" spans="2:9">
      <c r="B432" t="str">
        <v/>
      </c>
      <c r="C432" s="5"/>
      <c r="D432" s="5"/>
      <c r="E432" s="27"/>
      <c r="F432" s="5"/>
      <c r="G432" s="31"/>
      <c r="H432" s="8"/>
      <c r="I432" s="8"/>
    </row>
    <row r="433" spans="2:9">
      <c r="B433" t="str">
        <v/>
      </c>
      <c r="C433" s="5"/>
      <c r="D433" s="5"/>
      <c r="E433" s="27"/>
      <c r="F433" s="5"/>
      <c r="G433" s="31"/>
      <c r="H433" s="8"/>
      <c r="I433" s="8"/>
    </row>
    <row r="434" spans="2:9">
      <c r="B434" t="str">
        <v/>
      </c>
      <c r="C434" s="5"/>
      <c r="D434" s="5"/>
      <c r="E434" s="27"/>
      <c r="F434" s="5"/>
      <c r="G434" s="31"/>
      <c r="H434" s="8"/>
      <c r="I434" s="8"/>
    </row>
    <row r="435" spans="2:9">
      <c r="B435" t="str">
        <v/>
      </c>
      <c r="C435" s="5"/>
      <c r="D435" s="5"/>
      <c r="E435" s="27"/>
      <c r="F435" s="5"/>
      <c r="G435" s="31"/>
      <c r="H435" s="8"/>
      <c r="I435" s="8"/>
    </row>
    <row r="436" spans="2:9">
      <c r="B436" t="str">
        <v/>
      </c>
      <c r="C436" s="5"/>
      <c r="D436" s="5"/>
      <c r="E436" s="27"/>
      <c r="F436" s="5"/>
      <c r="G436" s="31"/>
      <c r="H436" s="8"/>
      <c r="I436" s="8"/>
    </row>
    <row r="437" spans="2:9">
      <c r="B437" t="str">
        <v/>
      </c>
      <c r="C437" s="5"/>
      <c r="D437" s="5"/>
      <c r="E437" s="27"/>
      <c r="F437" s="5"/>
      <c r="G437" s="31"/>
      <c r="H437" s="8"/>
      <c r="I437" s="8"/>
    </row>
    <row r="438" spans="2:9">
      <c r="B438" t="str">
        <v/>
      </c>
      <c r="C438" s="5"/>
      <c r="D438" s="5"/>
      <c r="E438" s="27"/>
      <c r="F438" s="5"/>
      <c r="G438" s="31"/>
      <c r="H438" s="8"/>
      <c r="I438" s="8"/>
    </row>
    <row r="439" spans="2:9">
      <c r="B439" t="str">
        <v/>
      </c>
      <c r="C439" s="5"/>
      <c r="D439" s="5"/>
      <c r="E439" s="27"/>
      <c r="F439" s="5"/>
      <c r="G439" s="31"/>
      <c r="H439" s="8"/>
      <c r="I439" s="8"/>
    </row>
    <row r="440" spans="2:9">
      <c r="B440" t="str">
        <v/>
      </c>
      <c r="C440" s="5"/>
      <c r="D440" s="5"/>
      <c r="E440" s="27"/>
      <c r="F440" s="5"/>
      <c r="G440" s="31"/>
      <c r="H440" s="8"/>
      <c r="I440" s="8"/>
    </row>
    <row r="441" spans="2:9">
      <c r="B441" t="str">
        <v/>
      </c>
      <c r="C441" s="5"/>
      <c r="D441" s="5"/>
      <c r="E441" s="27"/>
      <c r="F441" s="5"/>
      <c r="G441" s="31"/>
      <c r="H441" s="8"/>
      <c r="I441" s="8"/>
    </row>
    <row r="442" spans="2:9">
      <c r="B442" t="str">
        <v/>
      </c>
      <c r="C442" s="5"/>
      <c r="D442" s="5"/>
      <c r="E442" s="27"/>
      <c r="F442" s="5"/>
      <c r="G442" s="31"/>
      <c r="H442" s="8"/>
      <c r="I442" s="8"/>
    </row>
    <row r="443" spans="2:9">
      <c r="B443" t="str">
        <v/>
      </c>
      <c r="C443" s="5"/>
      <c r="D443" s="5"/>
      <c r="E443" s="27"/>
      <c r="F443" s="5"/>
      <c r="G443" s="31"/>
      <c r="H443" s="8"/>
      <c r="I443" s="8"/>
    </row>
    <row r="444" spans="2:9">
      <c r="B444" t="str">
        <v/>
      </c>
      <c r="C444" s="5"/>
      <c r="D444" s="5"/>
      <c r="E444" s="27"/>
      <c r="F444" s="5"/>
      <c r="G444" s="31"/>
      <c r="H444" s="8"/>
      <c r="I444" s="8"/>
    </row>
    <row r="445" spans="2:9">
      <c r="B445" t="str">
        <v/>
      </c>
      <c r="C445" s="5"/>
      <c r="D445" s="5"/>
      <c r="E445" s="27"/>
      <c r="F445" s="5"/>
      <c r="G445" s="31"/>
      <c r="H445" s="8"/>
      <c r="I445" s="8"/>
    </row>
    <row r="446" spans="2:9">
      <c r="B446" t="str">
        <v/>
      </c>
      <c r="C446" s="5"/>
      <c r="D446" s="5"/>
      <c r="E446" s="27"/>
      <c r="F446" s="5"/>
      <c r="G446" s="31"/>
      <c r="H446" s="8"/>
      <c r="I446" s="8"/>
    </row>
    <row r="447" spans="2:9">
      <c r="B447" t="str">
        <v/>
      </c>
      <c r="C447" s="5"/>
      <c r="D447" s="5"/>
      <c r="E447" s="27"/>
      <c r="F447" s="5"/>
      <c r="G447" s="31"/>
      <c r="H447" s="8"/>
      <c r="I447" s="8"/>
    </row>
    <row r="448" spans="2:9">
      <c r="B448" t="str">
        <v/>
      </c>
      <c r="C448" s="5"/>
      <c r="D448" s="5"/>
      <c r="E448" s="27"/>
      <c r="F448" s="5"/>
      <c r="G448" s="31"/>
      <c r="H448" s="8"/>
      <c r="I448" s="8"/>
    </row>
    <row r="449" spans="2:9">
      <c r="B449" t="str">
        <v/>
      </c>
      <c r="C449" s="5"/>
      <c r="D449" s="5"/>
      <c r="E449" s="27"/>
      <c r="F449" s="5"/>
      <c r="G449" s="31"/>
      <c r="H449" s="8"/>
      <c r="I449" s="8"/>
    </row>
    <row r="450" spans="2:9">
      <c r="B450" t="str">
        <v/>
      </c>
      <c r="C450" s="5"/>
      <c r="D450" s="5"/>
      <c r="E450" s="27"/>
      <c r="F450" s="5"/>
      <c r="G450" s="31"/>
      <c r="H450" s="8"/>
      <c r="I450" s="8"/>
    </row>
    <row r="451" spans="2:9">
      <c r="B451" t="str">
        <v/>
      </c>
      <c r="E451" s="27"/>
      <c r="F451" s="5"/>
    </row>
    <row r="452" spans="2:9">
      <c r="B452" t="str">
        <v/>
      </c>
      <c r="E452" s="27"/>
      <c r="F452" s="5"/>
    </row>
    <row r="453" spans="2:9">
      <c r="B453" t="str">
        <v/>
      </c>
      <c r="C453" s="5"/>
      <c r="D453" s="5"/>
      <c r="E453" s="27"/>
      <c r="F453" s="5"/>
      <c r="G453" s="31"/>
      <c r="H453" s="8"/>
      <c r="I453" s="8"/>
    </row>
    <row r="454" spans="2:9">
      <c r="B454" t="str">
        <v/>
      </c>
      <c r="C454" s="5"/>
      <c r="D454" s="5"/>
      <c r="E454" s="27"/>
      <c r="F454" s="5"/>
      <c r="G454" s="31"/>
      <c r="H454" s="8"/>
      <c r="I454" s="8"/>
    </row>
    <row r="455" spans="2:9">
      <c r="B455" t="str">
        <v/>
      </c>
      <c r="C455" s="5"/>
      <c r="D455" s="5"/>
      <c r="E455" s="27"/>
      <c r="F455" s="5"/>
      <c r="G455" s="31"/>
      <c r="H455" s="8"/>
      <c r="I455" s="8"/>
    </row>
    <row r="456" spans="2:9">
      <c r="B456" t="str">
        <v/>
      </c>
      <c r="C456" s="5"/>
      <c r="D456" s="5"/>
      <c r="E456" s="27"/>
      <c r="F456" s="5"/>
      <c r="G456" s="31"/>
      <c r="H456" s="8"/>
      <c r="I456" s="8"/>
    </row>
    <row r="457" spans="2:9">
      <c r="B457" t="str">
        <v/>
      </c>
      <c r="C457" s="5"/>
      <c r="D457" s="5"/>
      <c r="E457" s="27"/>
      <c r="F457" s="5"/>
      <c r="G457" s="31"/>
      <c r="H457" s="8"/>
      <c r="I457" s="8"/>
    </row>
    <row r="458" spans="2:9">
      <c r="B458" t="str">
        <v/>
      </c>
      <c r="C458" s="5"/>
      <c r="D458" s="5"/>
      <c r="E458" s="27"/>
      <c r="F458" s="5"/>
      <c r="G458" s="31"/>
      <c r="H458" s="8"/>
      <c r="I458" s="8"/>
    </row>
    <row r="459" spans="2:9">
      <c r="B459" t="str">
        <v/>
      </c>
      <c r="C459" s="5"/>
      <c r="D459" s="5"/>
      <c r="E459" s="27"/>
      <c r="F459" s="5"/>
      <c r="G459" s="31"/>
      <c r="H459" s="8"/>
      <c r="I459" s="8"/>
    </row>
    <row r="460" spans="2:9">
      <c r="B460" t="str">
        <v/>
      </c>
      <c r="C460" s="5"/>
      <c r="D460" s="5"/>
      <c r="E460" s="27"/>
      <c r="F460" s="5"/>
      <c r="G460" s="31"/>
      <c r="H460" s="8"/>
      <c r="I460" s="8"/>
    </row>
    <row r="461" spans="2:9">
      <c r="B461" t="str">
        <v/>
      </c>
      <c r="C461" s="5"/>
      <c r="D461" s="5"/>
      <c r="E461" s="27"/>
      <c r="F461" s="5"/>
      <c r="G461" s="31"/>
      <c r="H461" s="8"/>
      <c r="I461" s="8"/>
    </row>
    <row r="462" spans="2:9">
      <c r="B462" t="str">
        <v/>
      </c>
      <c r="C462" s="5"/>
      <c r="D462" s="5"/>
      <c r="E462" s="27"/>
      <c r="F462" s="5"/>
      <c r="G462" s="31"/>
      <c r="H462" s="8"/>
      <c r="I462" s="8"/>
    </row>
    <row r="463" spans="2:9">
      <c r="B463" t="str">
        <v/>
      </c>
      <c r="C463" s="5"/>
      <c r="D463" s="5"/>
      <c r="E463" s="27"/>
      <c r="F463" s="5"/>
      <c r="G463" s="31"/>
      <c r="H463" s="8"/>
      <c r="I463" s="8"/>
    </row>
    <row r="464" spans="2:9">
      <c r="B464" t="str">
        <v/>
      </c>
      <c r="C464" s="5"/>
      <c r="D464" s="5"/>
      <c r="E464" s="27"/>
      <c r="F464" s="5"/>
      <c r="G464" s="31"/>
      <c r="H464" s="8"/>
      <c r="I464" s="8"/>
    </row>
    <row r="465" spans="2:9">
      <c r="B465" t="str">
        <v/>
      </c>
      <c r="C465" s="5"/>
      <c r="D465" s="5"/>
      <c r="E465" s="27"/>
      <c r="F465" s="5"/>
      <c r="G465" s="31"/>
      <c r="H465" s="8"/>
      <c r="I465" s="8"/>
    </row>
    <row r="466" spans="2:9">
      <c r="B466" t="str">
        <v/>
      </c>
      <c r="C466" s="5"/>
      <c r="D466" s="5"/>
      <c r="E466" s="27"/>
      <c r="F466" s="5"/>
      <c r="G466" s="31"/>
      <c r="H466" s="8"/>
      <c r="I466" s="8"/>
    </row>
    <row r="467" spans="2:9">
      <c r="B467" t="str">
        <v/>
      </c>
      <c r="C467" s="5"/>
      <c r="D467" s="5"/>
      <c r="E467" s="27"/>
      <c r="F467" s="5"/>
      <c r="G467" s="31"/>
      <c r="H467" s="8"/>
      <c r="I467" s="8"/>
    </row>
    <row r="468" spans="2:9">
      <c r="B468" t="str">
        <v/>
      </c>
      <c r="C468" s="5"/>
      <c r="D468" s="5"/>
      <c r="E468" s="27"/>
      <c r="F468" s="5"/>
      <c r="G468" s="31"/>
      <c r="H468" s="8"/>
      <c r="I468" s="8"/>
    </row>
    <row r="469" spans="2:9">
      <c r="B469" t="str">
        <v/>
      </c>
      <c r="C469" s="5"/>
      <c r="D469" s="5"/>
      <c r="E469" s="27"/>
      <c r="F469" s="5"/>
      <c r="G469" s="31"/>
      <c r="H469" s="8"/>
      <c r="I469" s="8"/>
    </row>
    <row r="470" spans="2:9">
      <c r="B470" t="str">
        <v/>
      </c>
      <c r="C470" s="5"/>
      <c r="D470" s="5"/>
      <c r="E470" s="27"/>
      <c r="F470" s="5"/>
      <c r="G470" s="31"/>
      <c r="H470" s="8"/>
      <c r="I470" s="8"/>
    </row>
    <row r="471" spans="2:9">
      <c r="B471" t="str">
        <v/>
      </c>
      <c r="C471" s="5"/>
      <c r="D471" s="5"/>
      <c r="E471" s="27"/>
      <c r="F471" s="5"/>
      <c r="G471" s="31"/>
      <c r="H471" s="8"/>
      <c r="I471" s="8"/>
    </row>
    <row r="472" spans="2:9">
      <c r="B472" t="str">
        <v/>
      </c>
      <c r="C472" s="5"/>
      <c r="D472" s="5"/>
      <c r="E472" s="27"/>
      <c r="F472" s="5"/>
      <c r="G472" s="31"/>
      <c r="H472" s="8"/>
      <c r="I472" s="8"/>
    </row>
    <row r="473" spans="2:9">
      <c r="B473" t="str">
        <v/>
      </c>
      <c r="C473" s="5"/>
      <c r="D473" s="5"/>
      <c r="E473" s="27"/>
      <c r="F473" s="5"/>
      <c r="G473" s="31"/>
      <c r="H473" s="8"/>
      <c r="I473" s="8"/>
    </row>
    <row r="474" spans="2:9">
      <c r="B474" t="str">
        <v/>
      </c>
      <c r="C474" s="5"/>
      <c r="D474" s="5"/>
      <c r="E474" s="27"/>
      <c r="F474" s="5"/>
      <c r="G474" s="31"/>
      <c r="H474" s="8"/>
      <c r="I474" s="8"/>
    </row>
    <row r="475" spans="2:9">
      <c r="B475" t="str">
        <v/>
      </c>
      <c r="C475" s="5"/>
      <c r="D475" s="5"/>
      <c r="E475" s="27"/>
      <c r="F475" s="5"/>
      <c r="G475" s="31"/>
      <c r="H475" s="8"/>
      <c r="I475" s="8"/>
    </row>
    <row r="476" spans="2:9">
      <c r="B476" t="str">
        <v/>
      </c>
      <c r="C476" s="5"/>
      <c r="D476" s="5"/>
      <c r="E476" s="27"/>
      <c r="F476" s="5"/>
      <c r="G476" s="31"/>
      <c r="H476" s="8"/>
      <c r="I476" s="8"/>
    </row>
    <row r="477" spans="2:9">
      <c r="B477" t="str">
        <v/>
      </c>
      <c r="C477" s="5"/>
      <c r="D477" s="5"/>
      <c r="E477" s="27"/>
      <c r="F477" s="5"/>
      <c r="G477" s="31"/>
      <c r="H477" s="8"/>
      <c r="I477" s="8"/>
    </row>
    <row r="478" spans="2:9">
      <c r="B478" t="str">
        <v/>
      </c>
      <c r="C478" s="5"/>
      <c r="D478" s="5"/>
      <c r="E478" s="27"/>
      <c r="F478" s="5"/>
      <c r="G478" s="31"/>
      <c r="H478" s="8"/>
      <c r="I478" s="8"/>
    </row>
    <row r="479" spans="2:9">
      <c r="B479" t="str">
        <v/>
      </c>
      <c r="C479" s="5"/>
      <c r="D479" s="5"/>
      <c r="E479" s="27"/>
      <c r="F479" s="5"/>
      <c r="G479" s="31"/>
      <c r="H479" s="8"/>
      <c r="I479" s="8"/>
    </row>
    <row r="480" spans="2:9">
      <c r="B480" t="str">
        <v/>
      </c>
      <c r="C480" s="5"/>
      <c r="D480" s="5"/>
      <c r="E480" s="27"/>
      <c r="F480" s="5"/>
      <c r="G480" s="31"/>
      <c r="H480" s="8"/>
      <c r="I480" s="8"/>
    </row>
    <row r="481" spans="2:9">
      <c r="B481" t="str">
        <v/>
      </c>
      <c r="C481" s="5"/>
      <c r="D481" s="5"/>
      <c r="E481" s="27"/>
      <c r="F481" s="5"/>
      <c r="G481" s="31"/>
      <c r="H481" s="8"/>
      <c r="I481" s="8"/>
    </row>
    <row r="482" spans="2:9">
      <c r="B482" t="str">
        <v/>
      </c>
      <c r="C482" s="5"/>
      <c r="D482" s="5"/>
      <c r="E482" s="27"/>
      <c r="F482" s="5"/>
      <c r="G482" s="31"/>
      <c r="H482" s="8"/>
      <c r="I482" s="8"/>
    </row>
    <row r="483" spans="2:9">
      <c r="B483" t="str">
        <v/>
      </c>
      <c r="C483" s="5"/>
      <c r="D483" s="5"/>
      <c r="E483" s="27"/>
      <c r="F483" s="5"/>
      <c r="G483" s="31"/>
      <c r="H483" s="8"/>
      <c r="I483" s="8"/>
    </row>
    <row r="484" spans="2:9">
      <c r="B484" t="str">
        <v/>
      </c>
      <c r="C484" s="5"/>
      <c r="D484" s="5"/>
      <c r="E484" s="27"/>
      <c r="F484" s="5"/>
      <c r="G484" s="31"/>
      <c r="H484" s="8"/>
      <c r="I484" s="8"/>
    </row>
    <row r="485" spans="2:9">
      <c r="B485" t="str">
        <v/>
      </c>
      <c r="C485" s="5"/>
      <c r="D485" s="5"/>
      <c r="E485" s="27"/>
      <c r="F485" s="5"/>
      <c r="G485" s="31"/>
      <c r="H485" s="8"/>
      <c r="I485" s="8"/>
    </row>
    <row r="486" spans="2:9">
      <c r="B486" t="str">
        <v/>
      </c>
      <c r="C486" s="5"/>
      <c r="D486" s="5"/>
      <c r="E486" s="27"/>
      <c r="F486" s="5"/>
      <c r="G486" s="31"/>
      <c r="H486" s="8"/>
      <c r="I486" s="8"/>
    </row>
    <row r="487" spans="2:9">
      <c r="B487" t="str">
        <v/>
      </c>
      <c r="C487" s="5"/>
      <c r="D487" s="5"/>
      <c r="E487" s="27"/>
      <c r="F487" s="5"/>
      <c r="G487" s="31"/>
      <c r="H487" s="8"/>
      <c r="I487" s="8"/>
    </row>
    <row r="488" spans="2:9">
      <c r="B488" t="str">
        <v/>
      </c>
      <c r="C488" s="5"/>
      <c r="D488" s="5"/>
      <c r="E488" s="27"/>
      <c r="F488" s="5"/>
      <c r="G488" s="31"/>
      <c r="H488" s="8"/>
      <c r="I488" s="8"/>
    </row>
    <row r="489" spans="2:9">
      <c r="B489" t="str">
        <v/>
      </c>
      <c r="C489" s="5"/>
      <c r="D489" s="5"/>
      <c r="E489" s="27"/>
      <c r="F489" s="5"/>
      <c r="G489" s="31"/>
      <c r="H489" s="8"/>
      <c r="I489" s="8"/>
    </row>
    <row r="490" spans="2:9">
      <c r="B490" t="str">
        <v/>
      </c>
      <c r="C490" s="5"/>
      <c r="D490" s="5"/>
      <c r="E490" s="27"/>
      <c r="F490" s="5"/>
      <c r="G490" s="31"/>
      <c r="H490" s="8"/>
      <c r="I490" s="8"/>
    </row>
    <row r="491" spans="2:9">
      <c r="B491" t="str">
        <v/>
      </c>
      <c r="C491" s="5"/>
      <c r="D491" s="5"/>
      <c r="E491" s="27"/>
      <c r="F491" s="5"/>
      <c r="G491" s="31"/>
      <c r="H491" s="8"/>
      <c r="I491" s="8"/>
    </row>
    <row r="492" spans="2:9">
      <c r="B492" t="str">
        <v/>
      </c>
      <c r="E492" s="27"/>
      <c r="F492" s="5"/>
    </row>
    <row r="493" spans="2:9">
      <c r="B493" t="str">
        <v/>
      </c>
      <c r="E493" s="27"/>
      <c r="F493" s="5"/>
    </row>
    <row r="494" spans="2:9">
      <c r="B494" t="str">
        <v/>
      </c>
      <c r="E494" s="27"/>
      <c r="F494" s="5"/>
      <c r="G494" s="31"/>
      <c r="H494" s="8"/>
      <c r="I494" s="8"/>
    </row>
    <row r="495" spans="2:9">
      <c r="B495" t="str">
        <v/>
      </c>
      <c r="E495" s="27"/>
      <c r="F495" s="5"/>
      <c r="G495" s="31"/>
      <c r="H495" s="8"/>
      <c r="I495" s="8"/>
    </row>
    <row r="496" spans="2:9">
      <c r="B496" t="str">
        <v/>
      </c>
      <c r="E496" s="27"/>
      <c r="F496" s="5"/>
      <c r="G496" s="31"/>
      <c r="H496" s="8"/>
      <c r="I496" s="8"/>
    </row>
    <row r="497" spans="2:9">
      <c r="B497" t="str">
        <v/>
      </c>
      <c r="E497" s="27"/>
      <c r="F497" s="5"/>
      <c r="G497" s="31"/>
      <c r="H497" s="8"/>
      <c r="I497" s="8"/>
    </row>
    <row r="498" spans="2:9">
      <c r="B498" t="str">
        <v/>
      </c>
      <c r="E498" s="27"/>
      <c r="F498" s="5"/>
      <c r="G498" s="31"/>
      <c r="H498" s="8"/>
      <c r="I498" s="8"/>
    </row>
    <row r="499" spans="2:9">
      <c r="B499" t="str">
        <v/>
      </c>
      <c r="E499" s="27"/>
      <c r="F499" s="5"/>
      <c r="G499" s="31"/>
      <c r="H499" s="8"/>
      <c r="I499" s="8"/>
    </row>
    <row r="500" spans="2:9">
      <c r="B500" t="str">
        <v/>
      </c>
      <c r="E500" s="27"/>
      <c r="F500" s="5"/>
      <c r="G500" s="31"/>
      <c r="H500" s="8"/>
      <c r="I500" s="8"/>
    </row>
    <row r="501" spans="2:9">
      <c r="B501" t="str">
        <v/>
      </c>
      <c r="E501" s="27"/>
      <c r="F501" s="5"/>
      <c r="G501" s="31"/>
      <c r="H501" s="8"/>
      <c r="I501" s="8"/>
    </row>
    <row r="502" spans="2:9">
      <c r="B502" t="str">
        <v/>
      </c>
      <c r="E502" s="27"/>
      <c r="F502" s="5"/>
      <c r="G502" s="31"/>
      <c r="H502" s="8"/>
      <c r="I502" s="8"/>
    </row>
    <row r="503" spans="2:9">
      <c r="B503" t="str">
        <v/>
      </c>
      <c r="E503" s="27"/>
      <c r="F503" s="5"/>
      <c r="G503" s="31"/>
      <c r="H503" s="8"/>
      <c r="I503" s="8"/>
    </row>
    <row r="504" spans="2:9">
      <c r="B504" t="str">
        <v/>
      </c>
      <c r="E504" s="27"/>
      <c r="F504" s="5"/>
      <c r="G504" s="31"/>
      <c r="H504" s="8"/>
      <c r="I504" s="8"/>
    </row>
    <row r="505" spans="2:9">
      <c r="B505" t="str">
        <v/>
      </c>
      <c r="E505" s="27"/>
      <c r="F505" s="5"/>
      <c r="G505" s="31"/>
      <c r="H505" s="8"/>
      <c r="I505" s="8"/>
    </row>
    <row r="506" spans="2:9">
      <c r="B506" t="str">
        <v/>
      </c>
      <c r="E506" s="27"/>
      <c r="F506" s="5"/>
      <c r="G506" s="31"/>
      <c r="H506" s="8"/>
      <c r="I506" s="8"/>
    </row>
    <row r="507" spans="2:9">
      <c r="B507" t="str">
        <v/>
      </c>
      <c r="E507" s="27"/>
      <c r="F507" s="5"/>
      <c r="G507" s="31"/>
      <c r="H507" s="8"/>
      <c r="I507" s="8"/>
    </row>
    <row r="508" spans="2:9">
      <c r="B508" t="str">
        <v/>
      </c>
      <c r="E508" s="27"/>
      <c r="F508" s="5"/>
      <c r="G508" s="31"/>
      <c r="H508" s="8"/>
      <c r="I508" s="8"/>
    </row>
    <row r="509" spans="2:9">
      <c r="B509" t="str">
        <v/>
      </c>
      <c r="E509" s="27"/>
      <c r="F509" s="5"/>
      <c r="G509" s="31"/>
      <c r="H509" s="8"/>
      <c r="I509" s="8"/>
    </row>
    <row r="510" spans="2:9">
      <c r="B510" t="str">
        <v/>
      </c>
      <c r="E510" s="27"/>
      <c r="F510" s="5"/>
      <c r="G510" s="31"/>
      <c r="H510" s="8"/>
      <c r="I510" s="8"/>
    </row>
    <row r="511" spans="2:9">
      <c r="B511" t="str">
        <v/>
      </c>
      <c r="E511" s="27"/>
      <c r="F511" s="5"/>
      <c r="G511" s="31"/>
      <c r="H511" s="8"/>
      <c r="I511" s="8"/>
    </row>
    <row r="512" spans="2:9">
      <c r="B512" t="str">
        <v/>
      </c>
      <c r="E512" s="27"/>
      <c r="F512" s="5"/>
      <c r="G512" s="31"/>
      <c r="H512" s="8"/>
      <c r="I512" s="8"/>
    </row>
    <row r="513" spans="2:9">
      <c r="B513" t="str">
        <v/>
      </c>
      <c r="E513" s="27"/>
      <c r="F513" s="5"/>
      <c r="G513" s="31"/>
      <c r="H513" s="8"/>
      <c r="I513" s="8"/>
    </row>
    <row r="514" spans="2:9">
      <c r="B514" t="str">
        <v/>
      </c>
      <c r="E514" s="27"/>
      <c r="F514" s="5"/>
      <c r="G514" s="31"/>
      <c r="H514" s="8"/>
      <c r="I514" s="8"/>
    </row>
    <row r="515" spans="2:9">
      <c r="B515" t="str">
        <v/>
      </c>
      <c r="E515" s="27"/>
      <c r="F515" s="5"/>
      <c r="G515" s="31"/>
      <c r="H515" s="8"/>
      <c r="I515" s="8"/>
    </row>
    <row r="516" spans="2:9">
      <c r="B516" t="str">
        <v/>
      </c>
      <c r="E516" s="27"/>
      <c r="F516" s="5"/>
      <c r="G516" s="31"/>
      <c r="H516" s="8"/>
      <c r="I516" s="8"/>
    </row>
    <row r="517" spans="2:9">
      <c r="B517" t="str">
        <v/>
      </c>
      <c r="E517" s="27"/>
      <c r="F517" s="5"/>
      <c r="G517" s="31"/>
      <c r="H517" s="8"/>
      <c r="I517" s="8"/>
    </row>
    <row r="518" spans="2:9">
      <c r="B518" t="str">
        <v/>
      </c>
      <c r="E518" s="27"/>
      <c r="F518" s="5"/>
      <c r="G518" s="31"/>
      <c r="H518" s="8"/>
      <c r="I518" s="8"/>
    </row>
    <row r="519" spans="2:9">
      <c r="B519" t="str">
        <v/>
      </c>
      <c r="E519" s="27"/>
      <c r="F519" s="5"/>
      <c r="G519" s="31"/>
      <c r="H519" s="8"/>
      <c r="I519" s="8"/>
    </row>
    <row r="520" spans="2:9">
      <c r="B520" t="str">
        <v/>
      </c>
      <c r="E520" s="27"/>
      <c r="F520" s="5"/>
      <c r="G520" s="31"/>
      <c r="H520" s="8"/>
      <c r="I520" s="8"/>
    </row>
    <row r="521" spans="2:9">
      <c r="B521" t="str">
        <v/>
      </c>
      <c r="E521" s="27"/>
      <c r="F521" s="5"/>
      <c r="G521" s="31"/>
      <c r="H521" s="8"/>
      <c r="I521" s="8"/>
    </row>
    <row r="522" spans="2:9">
      <c r="B522" t="str">
        <v/>
      </c>
      <c r="E522" s="27"/>
      <c r="F522" s="5"/>
      <c r="G522" s="31"/>
      <c r="H522" s="8"/>
      <c r="I522" s="8"/>
    </row>
    <row r="523" spans="2:9">
      <c r="B523" t="str">
        <v/>
      </c>
      <c r="E523" s="27"/>
      <c r="F523" s="5"/>
      <c r="G523" s="31"/>
      <c r="H523" s="8"/>
      <c r="I523" s="8"/>
    </row>
    <row r="524" spans="2:9">
      <c r="B524" t="str">
        <v/>
      </c>
      <c r="E524" s="27"/>
      <c r="F524" s="5"/>
      <c r="G524" s="31"/>
      <c r="H524" s="8"/>
      <c r="I524" s="8"/>
    </row>
    <row r="525" spans="2:9">
      <c r="B525" t="str">
        <v/>
      </c>
      <c r="E525" s="27"/>
      <c r="F525" s="5"/>
      <c r="G525" s="31"/>
      <c r="H525" s="8"/>
      <c r="I525" s="8"/>
    </row>
    <row r="526" spans="2:9">
      <c r="B526" t="str">
        <v/>
      </c>
      <c r="E526" s="27"/>
      <c r="F526" s="5"/>
      <c r="G526" s="31"/>
      <c r="H526" s="8"/>
      <c r="I526" s="8"/>
    </row>
    <row r="527" spans="2:9">
      <c r="B527" t="str">
        <v/>
      </c>
      <c r="E527" s="27"/>
      <c r="F527" s="5"/>
      <c r="G527" s="31"/>
      <c r="H527" s="8"/>
      <c r="I527" s="8"/>
    </row>
    <row r="528" spans="2:9">
      <c r="B528" t="str">
        <v/>
      </c>
      <c r="E528" s="27"/>
      <c r="F528" s="5"/>
      <c r="G528" s="31"/>
      <c r="H528" s="8"/>
      <c r="I528" s="8"/>
    </row>
    <row r="529" spans="2:9">
      <c r="B529" t="str">
        <v/>
      </c>
      <c r="E529" s="27"/>
      <c r="F529" s="5"/>
      <c r="G529" s="31"/>
      <c r="H529" s="8"/>
      <c r="I529" s="8"/>
    </row>
    <row r="530" spans="2:9">
      <c r="B530" t="str">
        <v/>
      </c>
      <c r="E530" s="27"/>
      <c r="F530" s="5"/>
      <c r="G530" s="31"/>
      <c r="H530" s="8"/>
      <c r="I530" s="8"/>
    </row>
    <row r="531" spans="2:9">
      <c r="B531" t="str">
        <v/>
      </c>
      <c r="E531" s="27"/>
      <c r="F531" s="5"/>
      <c r="G531" s="31"/>
      <c r="H531" s="8"/>
      <c r="I531" s="8"/>
    </row>
    <row r="532" spans="2:9">
      <c r="B532" t="str">
        <v/>
      </c>
      <c r="E532" s="27"/>
      <c r="F532" s="5"/>
      <c r="G532" s="31"/>
      <c r="H532" s="8"/>
      <c r="I532" s="8"/>
    </row>
    <row r="533" spans="2:9">
      <c r="B533" t="str">
        <v/>
      </c>
      <c r="E533" s="27"/>
      <c r="F533" s="5"/>
    </row>
    <row r="534" spans="2:9">
      <c r="B534" t="str">
        <v/>
      </c>
      <c r="E534" s="27"/>
      <c r="F534" s="5"/>
    </row>
    <row r="535" spans="2:9">
      <c r="B535" t="str">
        <v/>
      </c>
      <c r="E535" s="27"/>
      <c r="F535" s="5"/>
      <c r="G535" s="31"/>
      <c r="H535" s="8"/>
      <c r="I535" s="8"/>
    </row>
    <row r="536" spans="2:9">
      <c r="B536" t="str">
        <v/>
      </c>
      <c r="E536" s="27"/>
      <c r="F536" s="5"/>
      <c r="G536" s="31"/>
      <c r="H536" s="8"/>
      <c r="I536" s="8"/>
    </row>
    <row r="537" spans="2:9">
      <c r="B537" t="str">
        <v/>
      </c>
      <c r="E537" s="27"/>
      <c r="F537" s="5"/>
      <c r="G537" s="31"/>
      <c r="H537" s="8"/>
      <c r="I537" s="8"/>
    </row>
    <row r="538" spans="2:9">
      <c r="B538" t="str">
        <v/>
      </c>
      <c r="E538" s="27"/>
      <c r="F538" s="5"/>
      <c r="G538" s="31"/>
      <c r="H538" s="8"/>
      <c r="I538" s="8"/>
    </row>
    <row r="539" spans="2:9">
      <c r="B539" t="str">
        <v/>
      </c>
      <c r="E539" s="27"/>
      <c r="F539" s="5"/>
      <c r="G539" s="31"/>
      <c r="H539" s="8"/>
      <c r="I539" s="8"/>
    </row>
    <row r="540" spans="2:9">
      <c r="B540" t="str">
        <v/>
      </c>
      <c r="E540" s="27"/>
      <c r="F540" s="5"/>
      <c r="G540" s="31"/>
      <c r="H540" s="8"/>
      <c r="I540" s="8"/>
    </row>
    <row r="541" spans="2:9">
      <c r="B541" t="str">
        <v/>
      </c>
      <c r="E541" s="27"/>
      <c r="F541" s="5"/>
      <c r="G541" s="31"/>
      <c r="H541" s="8"/>
      <c r="I541" s="8"/>
    </row>
    <row r="542" spans="2:9">
      <c r="B542" t="str">
        <v/>
      </c>
      <c r="E542" s="27"/>
      <c r="F542" s="5"/>
      <c r="G542" s="31"/>
      <c r="H542" s="8"/>
      <c r="I542" s="8"/>
    </row>
    <row r="543" spans="2:9">
      <c r="B543" t="str">
        <v/>
      </c>
      <c r="E543" s="27"/>
      <c r="F543" s="5"/>
      <c r="G543" s="31"/>
      <c r="H543" s="8"/>
      <c r="I543" s="8"/>
    </row>
    <row r="544" spans="2:9">
      <c r="B544" t="str">
        <v/>
      </c>
      <c r="E544" s="27"/>
      <c r="F544" s="5"/>
      <c r="G544" s="31"/>
      <c r="H544" s="8"/>
      <c r="I544" s="8"/>
    </row>
    <row r="545" spans="2:9">
      <c r="B545" t="str">
        <v/>
      </c>
      <c r="E545" s="27"/>
      <c r="F545" s="5"/>
      <c r="G545" s="31"/>
      <c r="H545" s="8"/>
      <c r="I545" s="8"/>
    </row>
    <row r="546" spans="2:9">
      <c r="B546" t="str">
        <v/>
      </c>
      <c r="E546" s="27"/>
      <c r="F546" s="5"/>
      <c r="G546" s="31"/>
      <c r="H546" s="8"/>
      <c r="I546" s="8"/>
    </row>
    <row r="547" spans="2:9">
      <c r="B547" t="str">
        <v/>
      </c>
      <c r="E547" s="27"/>
      <c r="F547" s="5"/>
      <c r="G547" s="31"/>
      <c r="H547" s="8"/>
      <c r="I547" s="8"/>
    </row>
    <row r="548" spans="2:9">
      <c r="B548" t="str">
        <v/>
      </c>
      <c r="E548" s="27"/>
      <c r="F548" s="5"/>
      <c r="G548" s="31"/>
      <c r="H548" s="8"/>
      <c r="I548" s="8"/>
    </row>
    <row r="549" spans="2:9">
      <c r="B549" t="str">
        <v/>
      </c>
      <c r="E549" s="27"/>
      <c r="F549" s="5"/>
      <c r="G549" s="31"/>
      <c r="H549" s="8"/>
      <c r="I549" s="8"/>
    </row>
    <row r="550" spans="2:9">
      <c r="B550" t="str">
        <v/>
      </c>
      <c r="E550" s="27"/>
      <c r="F550" s="5"/>
      <c r="G550" s="31"/>
      <c r="H550" s="8"/>
      <c r="I550" s="8"/>
    </row>
    <row r="551" spans="2:9">
      <c r="B551" t="str">
        <v/>
      </c>
      <c r="E551" s="27"/>
      <c r="F551" s="5"/>
      <c r="G551" s="31"/>
      <c r="H551" s="8"/>
      <c r="I551" s="8"/>
    </row>
    <row r="552" spans="2:9">
      <c r="B552" t="str">
        <v/>
      </c>
      <c r="E552" s="27"/>
      <c r="F552" s="5"/>
      <c r="G552" s="31"/>
      <c r="H552" s="8"/>
      <c r="I552" s="8"/>
    </row>
    <row r="553" spans="2:9">
      <c r="B553" t="str">
        <v/>
      </c>
      <c r="E553" s="27"/>
      <c r="F553" s="5"/>
      <c r="G553" s="31"/>
      <c r="H553" s="8"/>
      <c r="I553" s="8"/>
    </row>
    <row r="554" spans="2:9">
      <c r="B554" t="str">
        <v/>
      </c>
      <c r="E554" s="27"/>
      <c r="F554" s="5"/>
      <c r="G554" s="31"/>
      <c r="H554" s="8"/>
      <c r="I554" s="8"/>
    </row>
    <row r="555" spans="2:9">
      <c r="B555" t="str">
        <v/>
      </c>
      <c r="E555" s="27"/>
      <c r="F555" s="5"/>
      <c r="G555" s="31"/>
      <c r="H555" s="8"/>
      <c r="I555" s="8"/>
    </row>
    <row r="556" spans="2:9">
      <c r="B556" t="str">
        <v/>
      </c>
      <c r="E556" s="27"/>
      <c r="F556" s="5"/>
      <c r="G556" s="31"/>
      <c r="H556" s="8"/>
      <c r="I556" s="8"/>
    </row>
    <row r="557" spans="2:9">
      <c r="B557" t="str">
        <v/>
      </c>
      <c r="E557" s="27"/>
      <c r="F557" s="5"/>
      <c r="G557" s="31"/>
      <c r="H557" s="8"/>
      <c r="I557" s="8"/>
    </row>
    <row r="558" spans="2:9">
      <c r="B558" t="str">
        <v/>
      </c>
      <c r="E558" s="27"/>
      <c r="F558" s="5"/>
      <c r="G558" s="31"/>
      <c r="H558" s="8"/>
      <c r="I558" s="8"/>
    </row>
    <row r="559" spans="2:9">
      <c r="B559" t="str">
        <v/>
      </c>
      <c r="E559" s="27"/>
      <c r="F559" s="5"/>
      <c r="G559" s="31"/>
      <c r="H559" s="8"/>
      <c r="I559" s="8"/>
    </row>
    <row r="560" spans="2:9">
      <c r="B560" t="str">
        <v/>
      </c>
      <c r="E560" s="27"/>
      <c r="F560" s="5"/>
      <c r="G560" s="31"/>
      <c r="H560" s="8"/>
      <c r="I560" s="8"/>
    </row>
    <row r="561" spans="2:9">
      <c r="B561" t="str">
        <v/>
      </c>
      <c r="E561" s="27"/>
      <c r="F561" s="5"/>
      <c r="G561" s="31"/>
      <c r="H561" s="8"/>
      <c r="I561" s="8"/>
    </row>
    <row r="562" spans="2:9">
      <c r="B562" t="str">
        <v/>
      </c>
      <c r="E562" s="27"/>
      <c r="F562" s="5"/>
      <c r="G562" s="31"/>
      <c r="H562" s="8"/>
      <c r="I562" s="8"/>
    </row>
    <row r="563" spans="2:9">
      <c r="B563" t="str">
        <v/>
      </c>
      <c r="E563" s="27"/>
      <c r="F563" s="5"/>
      <c r="G563" s="31"/>
      <c r="H563" s="8"/>
      <c r="I563" s="8"/>
    </row>
    <row r="564" spans="2:9">
      <c r="B564" t="str">
        <v/>
      </c>
      <c r="E564" s="27"/>
      <c r="F564" s="5"/>
      <c r="G564" s="31"/>
      <c r="H564" s="8"/>
      <c r="I564" s="8"/>
    </row>
    <row r="565" spans="2:9">
      <c r="B565" t="str">
        <v/>
      </c>
      <c r="E565" s="27"/>
      <c r="F565" s="5"/>
      <c r="G565" s="31"/>
      <c r="H565" s="8"/>
      <c r="I565" s="8"/>
    </row>
    <row r="566" spans="2:9">
      <c r="B566" t="str">
        <v/>
      </c>
      <c r="E566" s="27"/>
      <c r="F566" s="5"/>
      <c r="G566" s="31"/>
      <c r="H566" s="8"/>
      <c r="I566" s="8"/>
    </row>
    <row r="567" spans="2:9">
      <c r="B567" t="str">
        <v/>
      </c>
      <c r="E567" s="27"/>
      <c r="F567" s="5"/>
      <c r="G567" s="31"/>
      <c r="H567" s="8"/>
      <c r="I567" s="8"/>
    </row>
    <row r="568" spans="2:9">
      <c r="B568" t="str">
        <v/>
      </c>
      <c r="E568" s="27"/>
      <c r="F568" s="5"/>
      <c r="G568" s="31"/>
      <c r="H568" s="8"/>
      <c r="I568" s="8"/>
    </row>
    <row r="569" spans="2:9">
      <c r="B569" t="str">
        <v/>
      </c>
      <c r="E569" s="27"/>
      <c r="F569" s="5"/>
      <c r="G569" s="31"/>
      <c r="H569" s="8"/>
      <c r="I569" s="8"/>
    </row>
    <row r="570" spans="2:9">
      <c r="B570" t="str">
        <v/>
      </c>
      <c r="E570" s="27"/>
      <c r="F570" s="5"/>
      <c r="G570" s="31"/>
      <c r="H570" s="8"/>
      <c r="I570" s="8"/>
    </row>
    <row r="571" spans="2:9">
      <c r="B571" t="str">
        <v/>
      </c>
      <c r="E571" s="27"/>
      <c r="F571" s="5"/>
      <c r="G571" s="31"/>
      <c r="H571" s="8"/>
      <c r="I571" s="8"/>
    </row>
    <row r="572" spans="2:9">
      <c r="B572" t="str">
        <v/>
      </c>
      <c r="E572" s="27"/>
      <c r="F572" s="5"/>
      <c r="G572" s="31"/>
      <c r="H572" s="8"/>
      <c r="I572" s="8"/>
    </row>
    <row r="573" spans="2:9">
      <c r="B573" t="str">
        <v/>
      </c>
      <c r="E573" s="27"/>
      <c r="F573" s="5"/>
      <c r="G573" s="31"/>
      <c r="H573" s="8"/>
      <c r="I573" s="8"/>
    </row>
    <row r="574" spans="2:9">
      <c r="B574" t="str">
        <v/>
      </c>
      <c r="E574" s="27"/>
      <c r="F574" s="5"/>
    </row>
    <row r="575" spans="2:9">
      <c r="B575" t="str">
        <v/>
      </c>
      <c r="E575" s="27"/>
      <c r="F575" s="5"/>
    </row>
    <row r="576" spans="2:9">
      <c r="B576" t="str">
        <v/>
      </c>
      <c r="E576" s="27"/>
      <c r="F576" s="5"/>
    </row>
    <row r="577" spans="2:6">
      <c r="B577" t="str">
        <v/>
      </c>
      <c r="E577" s="27"/>
      <c r="F577" s="5"/>
    </row>
    <row r="578" spans="2:6">
      <c r="B578" t="str">
        <v/>
      </c>
      <c r="E578" s="27"/>
      <c r="F578" s="5"/>
    </row>
    <row r="579" spans="2:6">
      <c r="B579" t="str">
        <v/>
      </c>
      <c r="E579" s="27"/>
      <c r="F579" s="5"/>
    </row>
    <row r="580" spans="2:6">
      <c r="B580" t="str">
        <v/>
      </c>
      <c r="E580" s="27"/>
      <c r="F580" s="5"/>
    </row>
    <row r="581" spans="2:6">
      <c r="B581" t="str">
        <v/>
      </c>
      <c r="E581" s="27"/>
      <c r="F581" s="5"/>
    </row>
    <row r="582" spans="2:6">
      <c r="B582" t="str">
        <v/>
      </c>
      <c r="E582" s="27"/>
      <c r="F582" s="5"/>
    </row>
    <row r="583" spans="2:6">
      <c r="B583" t="str">
        <v/>
      </c>
      <c r="E583" s="27"/>
      <c r="F583" s="5"/>
    </row>
    <row r="584" spans="2:6">
      <c r="B584" t="str">
        <v/>
      </c>
      <c r="E584" s="27"/>
      <c r="F584" s="5"/>
    </row>
    <row r="585" spans="2:6">
      <c r="B585" t="str">
        <v/>
      </c>
      <c r="E585" s="27"/>
      <c r="F585" s="5"/>
    </row>
    <row r="586" spans="2:6">
      <c r="B586" t="str">
        <v/>
      </c>
      <c r="E586" s="27"/>
      <c r="F586" s="5"/>
    </row>
    <row r="587" spans="2:6">
      <c r="B587" t="str">
        <v/>
      </c>
      <c r="E587" s="27"/>
      <c r="F587" s="5"/>
    </row>
    <row r="588" spans="2:6">
      <c r="B588" t="str">
        <v/>
      </c>
      <c r="E588" s="27"/>
      <c r="F588" s="5"/>
    </row>
    <row r="589" spans="2:6">
      <c r="B589" t="str">
        <v/>
      </c>
      <c r="E589" s="27"/>
      <c r="F589" s="5"/>
    </row>
    <row r="590" spans="2:6">
      <c r="B590" t="str">
        <v/>
      </c>
      <c r="E590" s="27"/>
      <c r="F590" s="5"/>
    </row>
    <row r="591" spans="2:6">
      <c r="B591" t="str">
        <v/>
      </c>
      <c r="E591" s="27"/>
      <c r="F591" s="5"/>
    </row>
    <row r="592" spans="2:6">
      <c r="B592" t="str">
        <v/>
      </c>
      <c r="E592" s="27"/>
      <c r="F592" s="5"/>
    </row>
    <row r="593" spans="2:6">
      <c r="B593" t="str">
        <v/>
      </c>
      <c r="E593" s="27"/>
      <c r="F593" s="5"/>
    </row>
    <row r="594" spans="2:6">
      <c r="B594" t="str">
        <v/>
      </c>
      <c r="E594" s="27"/>
      <c r="F594" s="5"/>
    </row>
    <row r="595" spans="2:6">
      <c r="B595" t="str">
        <v/>
      </c>
      <c r="E595" s="27"/>
      <c r="F595" s="5"/>
    </row>
    <row r="596" spans="2:6">
      <c r="B596" t="str">
        <v/>
      </c>
      <c r="E596" s="27"/>
      <c r="F596" s="5"/>
    </row>
    <row r="597" spans="2:6">
      <c r="B597" t="str">
        <v/>
      </c>
      <c r="E597" s="27"/>
      <c r="F597" s="5"/>
    </row>
    <row r="598" spans="2:6">
      <c r="B598" t="str">
        <v/>
      </c>
      <c r="E598" s="27"/>
      <c r="F598" s="5"/>
    </row>
    <row r="599" spans="2:6">
      <c r="B599" t="str">
        <v/>
      </c>
      <c r="E599" s="27"/>
      <c r="F599" s="5"/>
    </row>
    <row r="600" spans="2:6">
      <c r="B600" t="str">
        <v/>
      </c>
      <c r="E600" s="27"/>
      <c r="F600" s="5"/>
    </row>
    <row r="601" spans="2:6">
      <c r="B601" t="str">
        <v/>
      </c>
      <c r="E601" s="27"/>
      <c r="F601" s="5"/>
    </row>
    <row r="602" spans="2:6">
      <c r="B602" t="str">
        <v/>
      </c>
      <c r="E602" s="27"/>
      <c r="F602" s="5"/>
    </row>
    <row r="603" spans="2:6">
      <c r="B603" t="str">
        <v/>
      </c>
      <c r="E603" s="27"/>
      <c r="F603" s="5"/>
    </row>
    <row r="604" spans="2:6">
      <c r="B604" t="str">
        <v/>
      </c>
      <c r="E604" s="27"/>
      <c r="F604" s="5"/>
    </row>
    <row r="605" spans="2:6">
      <c r="B605" t="str">
        <v/>
      </c>
      <c r="E605" s="27"/>
      <c r="F605" s="5"/>
    </row>
    <row r="606" spans="2:6">
      <c r="B606" t="str">
        <v/>
      </c>
      <c r="E606" s="27"/>
      <c r="F606" s="5"/>
    </row>
    <row r="607" spans="2:6">
      <c r="B607" t="str">
        <v/>
      </c>
      <c r="E607" s="27"/>
      <c r="F607" s="5"/>
    </row>
    <row r="608" spans="2:6">
      <c r="B608" t="str">
        <v/>
      </c>
      <c r="E608" s="27"/>
      <c r="F608" s="5"/>
    </row>
    <row r="609" spans="2:6">
      <c r="B609" t="str">
        <v/>
      </c>
      <c r="E609" s="27"/>
      <c r="F609" s="5"/>
    </row>
    <row r="610" spans="2:6">
      <c r="B610" t="str">
        <v/>
      </c>
      <c r="E610" s="27"/>
      <c r="F610" s="5"/>
    </row>
    <row r="611" spans="2:6">
      <c r="B611" t="str">
        <v/>
      </c>
      <c r="E611" s="27"/>
      <c r="F611" s="5"/>
    </row>
    <row r="612" spans="2:6">
      <c r="B612" t="str">
        <v/>
      </c>
      <c r="E612" s="27"/>
      <c r="F612" s="5"/>
    </row>
    <row r="613" spans="2:6">
      <c r="B613" t="str">
        <v/>
      </c>
      <c r="E613" s="27"/>
      <c r="F613" s="5"/>
    </row>
    <row r="614" spans="2:6">
      <c r="B614" t="str">
        <v/>
      </c>
      <c r="E614" s="27"/>
      <c r="F614" s="5"/>
    </row>
    <row r="615" spans="2:6">
      <c r="B615" t="str">
        <v/>
      </c>
      <c r="E615" s="27"/>
      <c r="F615" s="5"/>
    </row>
    <row r="616" spans="2:6">
      <c r="B616" t="str">
        <v/>
      </c>
      <c r="E616" s="27"/>
      <c r="F616" s="5"/>
    </row>
    <row r="617" spans="2:6">
      <c r="B617" t="str">
        <v/>
      </c>
      <c r="E617" s="27"/>
      <c r="F617" s="5"/>
    </row>
    <row r="618" spans="2:6">
      <c r="B618" t="str">
        <v/>
      </c>
      <c r="E618" s="27"/>
      <c r="F618" s="5"/>
    </row>
    <row r="619" spans="2:6">
      <c r="B619" t="str">
        <v/>
      </c>
      <c r="E619" s="27"/>
      <c r="F619" s="5"/>
    </row>
    <row r="620" spans="2:6">
      <c r="B620" t="str">
        <v/>
      </c>
      <c r="E620" s="27"/>
      <c r="F620" s="5"/>
    </row>
    <row r="621" spans="2:6">
      <c r="B621" t="str">
        <v/>
      </c>
      <c r="E621" s="27"/>
      <c r="F621" s="5"/>
    </row>
    <row r="622" spans="2:6">
      <c r="B622" t="str">
        <v/>
      </c>
      <c r="E622" s="27"/>
      <c r="F622" s="5"/>
    </row>
    <row r="623" spans="2:6">
      <c r="B623" t="str">
        <v/>
      </c>
      <c r="E623" s="27"/>
      <c r="F623" s="5"/>
    </row>
    <row r="624" spans="2:6">
      <c r="B624" t="str">
        <v/>
      </c>
      <c r="E624" s="27"/>
      <c r="F624" s="5"/>
    </row>
    <row r="625" spans="2:6">
      <c r="B625" t="str">
        <v/>
      </c>
      <c r="E625" s="27"/>
      <c r="F625" s="5"/>
    </row>
    <row r="626" spans="2:6">
      <c r="B626" t="str">
        <v/>
      </c>
      <c r="E626" s="27"/>
      <c r="F626" s="5"/>
    </row>
    <row r="627" spans="2:6">
      <c r="B627" t="str">
        <v/>
      </c>
      <c r="E627" s="27"/>
      <c r="F627" s="5"/>
    </row>
    <row r="628" spans="2:6">
      <c r="B628" t="str">
        <v/>
      </c>
      <c r="E628" s="27"/>
      <c r="F628" s="5"/>
    </row>
    <row r="629" spans="2:6">
      <c r="B629" t="str">
        <v/>
      </c>
      <c r="E629" s="27"/>
      <c r="F629" s="5"/>
    </row>
    <row r="630" spans="2:6">
      <c r="B630" t="str">
        <v/>
      </c>
      <c r="E630" s="27"/>
      <c r="F630" s="5"/>
    </row>
    <row r="631" spans="2:6">
      <c r="B631" t="str">
        <v/>
      </c>
      <c r="E631" s="27"/>
      <c r="F631" s="5"/>
    </row>
    <row r="632" spans="2:6">
      <c r="B632" t="str">
        <v/>
      </c>
      <c r="E632" s="27"/>
      <c r="F632" s="5"/>
    </row>
    <row r="633" spans="2:6">
      <c r="B633" t="str">
        <v/>
      </c>
      <c r="E633" s="27"/>
      <c r="F633" s="5"/>
    </row>
    <row r="634" spans="2:6">
      <c r="B634" t="str">
        <v/>
      </c>
      <c r="E634" s="27"/>
      <c r="F634" s="5"/>
    </row>
    <row r="635" spans="2:6">
      <c r="B635" t="str">
        <v/>
      </c>
      <c r="E635" s="27"/>
      <c r="F635" s="5"/>
    </row>
    <row r="636" spans="2:6">
      <c r="B636" t="str">
        <v/>
      </c>
      <c r="E636" s="27"/>
      <c r="F636" s="5"/>
    </row>
    <row r="637" spans="2:6">
      <c r="B637" t="str">
        <v/>
      </c>
      <c r="E637" s="27"/>
      <c r="F637" s="5"/>
    </row>
    <row r="638" spans="2:6">
      <c r="B638" t="str">
        <v/>
      </c>
      <c r="E638" s="27"/>
      <c r="F638" s="5"/>
    </row>
    <row r="639" spans="2:6">
      <c r="B639" t="str">
        <v/>
      </c>
      <c r="E639" s="27"/>
      <c r="F639" s="5"/>
    </row>
    <row r="640" spans="2:6">
      <c r="B640" t="str">
        <v/>
      </c>
      <c r="E640" s="27"/>
      <c r="F640" s="5"/>
    </row>
    <row r="641" spans="2:6">
      <c r="B641" t="str">
        <v/>
      </c>
      <c r="E641" s="27"/>
      <c r="F641" s="5"/>
    </row>
    <row r="642" spans="2:6">
      <c r="B642" t="str">
        <v/>
      </c>
      <c r="E642" s="27"/>
      <c r="F642" s="5"/>
    </row>
    <row r="643" spans="2:6">
      <c r="B643" t="str">
        <v/>
      </c>
      <c r="E643" s="27"/>
      <c r="F643" s="5"/>
    </row>
    <row r="644" spans="2:6">
      <c r="B644" t="str">
        <v/>
      </c>
      <c r="E644" s="27"/>
      <c r="F644" s="5"/>
    </row>
    <row r="645" spans="2:6">
      <c r="B645" t="str">
        <v/>
      </c>
      <c r="E645" s="27"/>
      <c r="F645" s="5"/>
    </row>
    <row r="646" spans="2:6">
      <c r="B646" t="str">
        <v/>
      </c>
      <c r="E646" s="27"/>
      <c r="F646" s="5"/>
    </row>
    <row r="647" spans="2:6">
      <c r="B647" t="str">
        <v/>
      </c>
      <c r="E647" s="27"/>
      <c r="F647" s="5"/>
    </row>
    <row r="648" spans="2:6">
      <c r="B648" t="str">
        <v/>
      </c>
      <c r="E648" s="27"/>
      <c r="F648" s="5"/>
    </row>
    <row r="649" spans="2:6">
      <c r="B649" t="str">
        <v/>
      </c>
      <c r="E649" s="27"/>
      <c r="F649" s="5"/>
    </row>
    <row r="650" spans="2:6">
      <c r="B650" t="str">
        <v/>
      </c>
      <c r="E650" s="27"/>
      <c r="F650" s="5"/>
    </row>
    <row r="651" spans="2:6">
      <c r="B651" t="str">
        <v/>
      </c>
      <c r="E651" s="27"/>
      <c r="F651" s="5"/>
    </row>
    <row r="652" spans="2:6">
      <c r="B652" t="str">
        <v/>
      </c>
      <c r="E652" s="27"/>
      <c r="F652" s="5"/>
    </row>
    <row r="653" spans="2:6">
      <c r="B653" t="str">
        <v/>
      </c>
      <c r="E653" s="27"/>
      <c r="F653" s="5"/>
    </row>
    <row r="654" spans="2:6">
      <c r="B654" t="str">
        <v/>
      </c>
      <c r="E654" s="27"/>
      <c r="F654" s="5"/>
    </row>
    <row r="655" spans="2:6">
      <c r="B655" t="str">
        <v/>
      </c>
      <c r="E655" s="27"/>
      <c r="F655" s="5"/>
    </row>
    <row r="656" spans="2:6">
      <c r="B656" t="str">
        <v/>
      </c>
      <c r="E656" s="27"/>
      <c r="F656" s="5"/>
    </row>
    <row r="657" spans="2:6">
      <c r="B657" t="str">
        <v/>
      </c>
      <c r="E657" s="27"/>
      <c r="F657" s="5"/>
    </row>
    <row r="658" spans="2:6">
      <c r="B658" t="str">
        <v/>
      </c>
      <c r="E658" s="27"/>
      <c r="F658" s="5"/>
    </row>
    <row r="659" spans="2:6">
      <c r="B659" t="str">
        <v/>
      </c>
      <c r="E659" s="27"/>
      <c r="F659" s="5"/>
    </row>
    <row r="660" spans="2:6">
      <c r="B660" t="str">
        <v/>
      </c>
      <c r="E660" s="27"/>
      <c r="F660" s="5"/>
    </row>
    <row r="661" spans="2:6">
      <c r="B661" t="str">
        <v/>
      </c>
      <c r="E661" s="27"/>
      <c r="F661" s="5"/>
    </row>
    <row r="662" spans="2:6">
      <c r="B662" t="str">
        <v/>
      </c>
      <c r="E662" s="27"/>
      <c r="F662" s="5"/>
    </row>
    <row r="663" spans="2:6">
      <c r="B663" t="str">
        <v/>
      </c>
      <c r="E663" s="27"/>
      <c r="F663" s="5"/>
    </row>
    <row r="664" spans="2:6">
      <c r="B664" t="str">
        <v/>
      </c>
      <c r="E664" s="27"/>
      <c r="F664" s="5"/>
    </row>
    <row r="665" spans="2:6">
      <c r="B665" t="str">
        <v/>
      </c>
      <c r="E665" s="27"/>
      <c r="F665" s="5"/>
    </row>
    <row r="666" spans="2:6">
      <c r="B666" t="str">
        <v/>
      </c>
      <c r="E666" s="27"/>
      <c r="F666" s="5"/>
    </row>
    <row r="667" spans="2:6">
      <c r="B667" t="str">
        <v/>
      </c>
      <c r="E667" s="27"/>
      <c r="F667" s="5"/>
    </row>
    <row r="668" spans="2:6">
      <c r="B668" t="str">
        <v/>
      </c>
      <c r="E668" s="27"/>
      <c r="F668" s="5"/>
    </row>
    <row r="669" spans="2:6">
      <c r="B669" t="str">
        <v/>
      </c>
      <c r="E669" s="27"/>
      <c r="F669" s="5"/>
    </row>
    <row r="670" spans="2:6">
      <c r="B670" t="str">
        <v/>
      </c>
      <c r="E670" s="27"/>
      <c r="F670" s="5"/>
    </row>
    <row r="671" spans="2:6">
      <c r="B671" t="str">
        <v/>
      </c>
      <c r="E671" s="27"/>
      <c r="F671" s="5"/>
    </row>
    <row r="672" spans="2:6">
      <c r="B672" t="str">
        <v/>
      </c>
      <c r="E672" s="27"/>
      <c r="F672" s="5"/>
    </row>
    <row r="673" spans="2:6">
      <c r="B673" t="str">
        <v/>
      </c>
      <c r="E673" s="27"/>
      <c r="F673" s="5"/>
    </row>
    <row r="674" spans="2:6">
      <c r="B674" t="str">
        <v/>
      </c>
      <c r="E674" s="27"/>
      <c r="F674" s="5"/>
    </row>
    <row r="675" spans="2:6">
      <c r="B675" t="str">
        <v/>
      </c>
      <c r="E675" s="27"/>
      <c r="F675" s="5"/>
    </row>
    <row r="676" spans="2:6">
      <c r="B676" t="str">
        <v/>
      </c>
      <c r="E676" s="27"/>
      <c r="F676" s="5"/>
    </row>
    <row r="677" spans="2:6">
      <c r="B677" t="str">
        <v/>
      </c>
      <c r="E677" s="27"/>
      <c r="F677" s="5"/>
    </row>
    <row r="678" spans="2:6">
      <c r="B678" t="str">
        <v/>
      </c>
      <c r="E678" s="27"/>
      <c r="F678" s="5"/>
    </row>
    <row r="679" spans="2:6">
      <c r="B679" t="str">
        <v/>
      </c>
      <c r="E679" s="27"/>
      <c r="F679" s="5"/>
    </row>
    <row r="680" spans="2:6">
      <c r="B680" t="str">
        <v/>
      </c>
      <c r="E680" s="27"/>
      <c r="F680" s="5"/>
    </row>
    <row r="681" spans="2:6">
      <c r="B681" t="str">
        <v/>
      </c>
      <c r="E681" s="27"/>
      <c r="F681" s="5"/>
    </row>
    <row r="682" spans="2:6">
      <c r="B682" t="str">
        <v/>
      </c>
      <c r="E682" s="27"/>
      <c r="F682" s="5"/>
    </row>
    <row r="683" spans="2:6">
      <c r="B683" t="str">
        <v/>
      </c>
      <c r="E683" s="27"/>
      <c r="F683" s="5"/>
    </row>
    <row r="684" spans="2:6">
      <c r="B684" t="str">
        <v/>
      </c>
      <c r="E684" s="27"/>
      <c r="F684" s="5"/>
    </row>
    <row r="685" spans="2:6">
      <c r="B685" t="str">
        <v/>
      </c>
      <c r="E685" s="27"/>
      <c r="F685" s="5"/>
    </row>
    <row r="686" spans="2:6">
      <c r="B686" t="str">
        <v/>
      </c>
      <c r="E686" s="27"/>
      <c r="F686" s="5"/>
    </row>
    <row r="687" spans="2:6">
      <c r="B687" t="str">
        <v/>
      </c>
      <c r="E687" s="27"/>
      <c r="F687" s="5"/>
    </row>
    <row r="688" spans="2:6">
      <c r="B688" t="str">
        <v/>
      </c>
      <c r="E688" s="27"/>
      <c r="F688" s="5"/>
    </row>
    <row r="689" spans="2:6">
      <c r="B689" t="str">
        <v/>
      </c>
      <c r="E689" s="27"/>
      <c r="F689" s="5"/>
    </row>
    <row r="690" spans="2:6">
      <c r="B690" t="str">
        <v/>
      </c>
      <c r="E690" s="27"/>
      <c r="F690" s="5"/>
    </row>
    <row r="691" spans="2:6">
      <c r="B691" t="str">
        <v/>
      </c>
      <c r="E691" s="27"/>
      <c r="F691" s="5"/>
    </row>
    <row r="692" spans="2:6">
      <c r="B692" t="str">
        <v/>
      </c>
      <c r="E692" s="27"/>
      <c r="F692" s="5"/>
    </row>
    <row r="693" spans="2:6">
      <c r="B693" t="str">
        <v/>
      </c>
      <c r="E693" s="27"/>
      <c r="F693" s="5"/>
    </row>
    <row r="694" spans="2:6">
      <c r="B694" t="str">
        <v/>
      </c>
      <c r="E694" s="27"/>
      <c r="F694" s="5"/>
    </row>
    <row r="695" spans="2:6">
      <c r="B695" t="str">
        <v/>
      </c>
      <c r="E695" s="27"/>
      <c r="F695" s="5"/>
    </row>
    <row r="696" spans="2:6">
      <c r="B696" t="str">
        <v/>
      </c>
      <c r="E696" s="27"/>
      <c r="F696" s="5"/>
    </row>
    <row r="697" spans="2:6">
      <c r="B697" t="str">
        <v/>
      </c>
      <c r="E697" s="27"/>
      <c r="F697" s="5"/>
    </row>
    <row r="698" spans="2:6">
      <c r="B698" t="str">
        <v/>
      </c>
      <c r="E698" s="27"/>
      <c r="F698" s="5"/>
    </row>
    <row r="699" spans="2:6">
      <c r="B699" t="str">
        <v/>
      </c>
      <c r="E699" s="27"/>
      <c r="F699" s="5"/>
    </row>
    <row r="700" spans="2:6">
      <c r="B700" t="str">
        <v/>
      </c>
      <c r="E700" s="27"/>
      <c r="F700" s="5"/>
    </row>
    <row r="701" spans="2:6">
      <c r="B701" t="str">
        <v/>
      </c>
      <c r="E701" s="27"/>
      <c r="F701" s="5"/>
    </row>
    <row r="702" spans="2:6">
      <c r="B702" t="str">
        <v/>
      </c>
      <c r="E702" s="27"/>
      <c r="F702" s="5"/>
    </row>
    <row r="703" spans="2:6">
      <c r="B703" t="str">
        <v/>
      </c>
      <c r="E703" s="27"/>
      <c r="F703" s="5"/>
    </row>
    <row r="704" spans="2:6">
      <c r="B704" t="str">
        <v/>
      </c>
      <c r="E704" s="27"/>
      <c r="F704" s="5"/>
    </row>
    <row r="705" spans="2:6">
      <c r="B705" t="str">
        <v/>
      </c>
      <c r="E705" s="27"/>
      <c r="F705" s="5"/>
    </row>
    <row r="706" spans="2:6">
      <c r="B706" t="str">
        <v/>
      </c>
      <c r="E706" s="27"/>
      <c r="F706" s="5"/>
    </row>
    <row r="707" spans="2:6">
      <c r="B707" t="str">
        <v/>
      </c>
      <c r="E707" s="27"/>
      <c r="F707" s="5"/>
    </row>
    <row r="708" spans="2:6">
      <c r="B708" t="str">
        <v/>
      </c>
      <c r="E708" s="27"/>
      <c r="F708" s="5"/>
    </row>
    <row r="709" spans="2:6">
      <c r="B709" t="str">
        <v/>
      </c>
      <c r="E709" s="27"/>
      <c r="F709" s="5"/>
    </row>
    <row r="710" spans="2:6">
      <c r="B710" t="str">
        <v/>
      </c>
      <c r="E710" s="27"/>
      <c r="F710" s="5"/>
    </row>
    <row r="711" spans="2:6">
      <c r="B711" t="str">
        <v/>
      </c>
      <c r="E711" s="27"/>
      <c r="F711" s="5"/>
    </row>
    <row r="712" spans="2:6">
      <c r="B712" t="str">
        <v/>
      </c>
      <c r="E712" s="27"/>
      <c r="F712" s="5"/>
    </row>
    <row r="713" spans="2:6">
      <c r="B713" t="str">
        <v/>
      </c>
      <c r="E713" s="27"/>
      <c r="F713" s="5"/>
    </row>
    <row r="714" spans="2:6">
      <c r="B714" t="str">
        <v/>
      </c>
      <c r="E714" s="27"/>
      <c r="F714" s="5"/>
    </row>
    <row r="715" spans="2:6">
      <c r="B715" t="str">
        <v/>
      </c>
      <c r="E715" s="27"/>
      <c r="F715" s="5"/>
    </row>
    <row r="716" spans="2:6">
      <c r="B716" t="str">
        <v/>
      </c>
      <c r="E716" s="27"/>
      <c r="F716" s="5"/>
    </row>
    <row r="717" spans="2:6">
      <c r="B717" t="str">
        <v/>
      </c>
      <c r="E717" s="27"/>
      <c r="F717" s="5"/>
    </row>
    <row r="718" spans="2:6">
      <c r="B718" t="str">
        <v/>
      </c>
      <c r="E718" s="27"/>
      <c r="F718" s="5"/>
    </row>
    <row r="719" spans="2:6">
      <c r="B719" t="str">
        <v/>
      </c>
      <c r="E719" s="27"/>
      <c r="F719" s="5"/>
    </row>
    <row r="720" spans="2:6">
      <c r="B720" t="str">
        <v/>
      </c>
      <c r="E720" s="27"/>
      <c r="F720" s="5"/>
    </row>
    <row r="721" spans="2:6">
      <c r="B721" t="str">
        <v/>
      </c>
      <c r="E721" s="27"/>
      <c r="F721" s="5"/>
    </row>
    <row r="722" spans="2:6">
      <c r="B722" t="str">
        <v/>
      </c>
      <c r="E722" s="27"/>
      <c r="F722" s="5"/>
    </row>
    <row r="723" spans="2:6">
      <c r="B723" t="str">
        <v/>
      </c>
      <c r="E723" s="27"/>
      <c r="F723" s="5"/>
    </row>
    <row r="724" spans="2:6">
      <c r="B724" t="str">
        <v/>
      </c>
      <c r="E724" s="27"/>
      <c r="F724" s="5"/>
    </row>
    <row r="725" spans="2:6">
      <c r="B725" t="str">
        <v/>
      </c>
      <c r="E725" s="27"/>
      <c r="F725" s="5"/>
    </row>
    <row r="726" spans="2:6">
      <c r="B726" t="str">
        <v/>
      </c>
      <c r="E726" s="27"/>
      <c r="F726" s="5"/>
    </row>
    <row r="727" spans="2:6">
      <c r="B727" t="str">
        <v/>
      </c>
      <c r="E727" s="27"/>
      <c r="F727" s="5"/>
    </row>
    <row r="728" spans="2:6">
      <c r="B728" t="str">
        <v/>
      </c>
      <c r="E728" s="27"/>
      <c r="F728" s="5"/>
    </row>
    <row r="729" spans="2:6">
      <c r="B729" t="str">
        <v/>
      </c>
      <c r="E729" s="27"/>
      <c r="F729" s="5"/>
    </row>
    <row r="730" spans="2:6">
      <c r="B730" t="str">
        <v/>
      </c>
      <c r="E730" s="27"/>
      <c r="F730" s="5"/>
    </row>
    <row r="731" spans="2:6">
      <c r="B731" t="str">
        <v/>
      </c>
      <c r="E731" s="27"/>
      <c r="F731" s="5"/>
    </row>
    <row r="732" spans="2:6">
      <c r="B732" t="str">
        <v/>
      </c>
      <c r="E732" s="27"/>
      <c r="F732" s="5"/>
    </row>
    <row r="733" spans="2:6">
      <c r="B733" t="str">
        <v/>
      </c>
      <c r="E733" s="27"/>
      <c r="F733" s="5"/>
    </row>
    <row r="734" spans="2:6">
      <c r="B734" t="str">
        <v/>
      </c>
      <c r="E734" s="27"/>
      <c r="F734" s="5"/>
    </row>
    <row r="735" spans="2:6">
      <c r="B735" t="str">
        <v/>
      </c>
      <c r="E735" s="27"/>
      <c r="F735" s="5"/>
    </row>
    <row r="736" spans="2:6">
      <c r="B736" t="str">
        <v/>
      </c>
      <c r="E736" s="27"/>
      <c r="F736" s="5"/>
    </row>
    <row r="737" spans="2:6">
      <c r="B737" t="str">
        <v/>
      </c>
      <c r="E737" s="27"/>
      <c r="F737" s="5"/>
    </row>
    <row r="738" spans="2:6">
      <c r="B738" t="str">
        <v/>
      </c>
      <c r="E738" s="27"/>
      <c r="F738" s="5"/>
    </row>
    <row r="739" spans="2:6">
      <c r="B739" t="str">
        <v/>
      </c>
      <c r="E739" s="27"/>
      <c r="F739" s="5"/>
    </row>
    <row r="740" spans="2:6">
      <c r="B740" t="str">
        <v/>
      </c>
      <c r="E740" s="27"/>
      <c r="F740" s="5"/>
    </row>
    <row r="741" spans="2:6">
      <c r="B741" t="str">
        <v/>
      </c>
      <c r="E741" s="27"/>
      <c r="F741" s="5"/>
    </row>
    <row r="742" spans="2:6">
      <c r="B742" t="str">
        <v/>
      </c>
      <c r="E742" s="27"/>
      <c r="F742" s="5"/>
    </row>
    <row r="743" spans="2:6">
      <c r="B743" t="str">
        <v/>
      </c>
      <c r="E743" s="27"/>
      <c r="F743" s="5"/>
    </row>
    <row r="744" spans="2:6">
      <c r="B744" t="str">
        <v/>
      </c>
      <c r="E744" s="27"/>
      <c r="F744" s="5"/>
    </row>
    <row r="745" spans="2:6">
      <c r="B745" t="str">
        <v/>
      </c>
      <c r="E745" s="27"/>
      <c r="F745" s="5"/>
    </row>
    <row r="746" spans="2:6">
      <c r="B746" t="str">
        <v/>
      </c>
      <c r="E746" s="27"/>
      <c r="F746" s="5"/>
    </row>
    <row r="747" spans="2:6">
      <c r="B747" t="str">
        <v/>
      </c>
      <c r="E747" s="27"/>
      <c r="F747" s="5"/>
    </row>
    <row r="748" spans="2:6">
      <c r="B748" t="str">
        <v/>
      </c>
      <c r="E748" s="27"/>
      <c r="F748" s="5"/>
    </row>
    <row r="749" spans="2:6">
      <c r="B749" t="str">
        <v/>
      </c>
      <c r="E749" s="27"/>
      <c r="F749" s="5"/>
    </row>
    <row r="750" spans="2:6">
      <c r="B750" t="str">
        <v/>
      </c>
      <c r="E750" s="27"/>
      <c r="F750" s="5"/>
    </row>
    <row r="751" spans="2:6">
      <c r="B751" t="str">
        <v/>
      </c>
      <c r="E751" s="27"/>
      <c r="F751" s="5"/>
    </row>
    <row r="752" spans="2:6">
      <c r="B752" t="str">
        <v/>
      </c>
      <c r="E752" s="27"/>
      <c r="F752" s="5"/>
    </row>
    <row r="753" spans="2:6">
      <c r="B753" t="str">
        <v/>
      </c>
      <c r="E753" s="27"/>
      <c r="F753" s="5"/>
    </row>
    <row r="754" spans="2:6">
      <c r="B754" t="str">
        <v/>
      </c>
      <c r="E754" s="27"/>
      <c r="F754" s="5"/>
    </row>
    <row r="755" spans="2:6">
      <c r="B755" t="str">
        <v/>
      </c>
      <c r="E755" s="27"/>
      <c r="F755" s="5"/>
    </row>
    <row r="756" spans="2:6">
      <c r="B756" t="str">
        <v/>
      </c>
      <c r="E756" s="27"/>
      <c r="F756" s="5"/>
    </row>
    <row r="757" spans="2:6">
      <c r="B757" t="str">
        <v/>
      </c>
      <c r="E757" s="27"/>
      <c r="F757" s="5"/>
    </row>
    <row r="758" spans="2:6">
      <c r="B758" t="str">
        <v/>
      </c>
      <c r="E758" s="27"/>
      <c r="F758" s="5"/>
    </row>
    <row r="759" spans="2:6">
      <c r="B759" t="str">
        <v/>
      </c>
      <c r="E759" s="27"/>
      <c r="F759" s="5"/>
    </row>
    <row r="760" spans="2:6">
      <c r="B760" t="str">
        <v/>
      </c>
      <c r="E760" s="27"/>
      <c r="F760" s="5"/>
    </row>
    <row r="761" spans="2:6">
      <c r="B761" t="str">
        <v/>
      </c>
      <c r="E761" s="27"/>
      <c r="F761" s="5"/>
    </row>
    <row r="762" spans="2:6">
      <c r="B762" t="str">
        <v/>
      </c>
      <c r="E762" s="27"/>
      <c r="F762" s="5"/>
    </row>
    <row r="763" spans="2:6">
      <c r="B763" t="str">
        <v/>
      </c>
      <c r="E763" s="27"/>
      <c r="F763" s="5"/>
    </row>
    <row r="764" spans="2:6">
      <c r="B764" t="str">
        <v/>
      </c>
      <c r="E764" s="27"/>
      <c r="F764" s="5"/>
    </row>
    <row r="765" spans="2:6">
      <c r="B765" t="str">
        <v/>
      </c>
      <c r="E765" s="27"/>
      <c r="F765" s="5"/>
    </row>
    <row r="766" spans="2:6">
      <c r="B766" t="str">
        <v/>
      </c>
      <c r="E766" s="27"/>
      <c r="F766" s="5"/>
    </row>
    <row r="767" spans="2:6">
      <c r="B767" t="str">
        <v/>
      </c>
      <c r="E767" s="27"/>
      <c r="F767" s="5"/>
    </row>
    <row r="768" spans="2:6">
      <c r="B768" t="str">
        <v/>
      </c>
      <c r="E768" s="27"/>
      <c r="F768" s="5"/>
    </row>
    <row r="769" spans="2:6">
      <c r="B769" t="str">
        <v/>
      </c>
      <c r="E769" s="27"/>
      <c r="F769" s="5"/>
    </row>
    <row r="770" spans="2:6">
      <c r="B770" t="str">
        <v/>
      </c>
      <c r="E770" s="27"/>
      <c r="F770" s="5"/>
    </row>
    <row r="771" spans="2:6">
      <c r="B771" t="str">
        <v/>
      </c>
      <c r="E771" s="27"/>
      <c r="F771" s="5"/>
    </row>
    <row r="772" spans="2:6">
      <c r="B772" t="str">
        <v/>
      </c>
      <c r="E772" s="27"/>
      <c r="F772" s="5"/>
    </row>
    <row r="773" spans="2:6">
      <c r="B773" t="str">
        <v/>
      </c>
      <c r="E773" s="27"/>
      <c r="F773" s="5"/>
    </row>
    <row r="774" spans="2:6">
      <c r="B774" t="str">
        <v/>
      </c>
      <c r="E774" s="27"/>
      <c r="F774" s="5"/>
    </row>
    <row r="775" spans="2:6">
      <c r="B775" t="str">
        <v/>
      </c>
      <c r="E775" s="27"/>
      <c r="F775" s="5"/>
    </row>
    <row r="776" spans="2:6">
      <c r="B776" t="str">
        <v/>
      </c>
      <c r="E776" s="27"/>
      <c r="F776" s="5"/>
    </row>
    <row r="777" spans="2:6">
      <c r="B777" t="str">
        <v/>
      </c>
      <c r="E777" s="27"/>
      <c r="F777" s="5"/>
    </row>
    <row r="778" spans="2:6">
      <c r="B778" t="str">
        <v/>
      </c>
      <c r="E778" s="27"/>
      <c r="F778" s="5"/>
    </row>
    <row r="779" spans="2:6">
      <c r="B779" t="str">
        <v/>
      </c>
      <c r="E779" s="27"/>
      <c r="F779" s="5"/>
    </row>
    <row r="780" spans="2:6">
      <c r="B780" t="str">
        <v/>
      </c>
      <c r="E780" s="27"/>
      <c r="F780" s="5"/>
    </row>
    <row r="781" spans="2:6">
      <c r="B781" t="str">
        <v/>
      </c>
      <c r="E781" s="27"/>
      <c r="F781" s="5"/>
    </row>
    <row r="782" spans="2:6">
      <c r="B782" t="str">
        <v/>
      </c>
      <c r="E782" s="27"/>
      <c r="F782" s="5"/>
    </row>
    <row r="783" spans="2:6">
      <c r="B783" t="str">
        <v/>
      </c>
      <c r="E783" s="27"/>
      <c r="F783" s="5"/>
    </row>
    <row r="784" spans="2:6">
      <c r="B784" t="str">
        <v/>
      </c>
      <c r="E784" s="27"/>
      <c r="F784" s="5"/>
    </row>
    <row r="785" spans="2:6">
      <c r="B785" t="str">
        <v/>
      </c>
      <c r="E785" s="27"/>
      <c r="F785" s="5"/>
    </row>
    <row r="786" spans="2:6">
      <c r="B786" t="str">
        <v/>
      </c>
      <c r="E786" s="27"/>
      <c r="F786" s="5"/>
    </row>
    <row r="787" spans="2:6">
      <c r="B787" t="str">
        <v/>
      </c>
      <c r="E787" s="27"/>
      <c r="F787" s="5"/>
    </row>
    <row r="788" spans="2:6">
      <c r="B788" t="str">
        <v/>
      </c>
      <c r="E788" s="27"/>
      <c r="F788" s="5"/>
    </row>
    <row r="789" spans="2:6">
      <c r="B789" t="str">
        <v/>
      </c>
      <c r="E789" s="27"/>
      <c r="F789" s="5"/>
    </row>
    <row r="790" spans="2:6">
      <c r="B790" t="str">
        <v/>
      </c>
      <c r="E790" s="27"/>
      <c r="F790" s="5"/>
    </row>
    <row r="791" spans="2:6">
      <c r="B791" t="str">
        <v/>
      </c>
      <c r="E791" s="27"/>
      <c r="F791" s="5"/>
    </row>
    <row r="792" spans="2:6">
      <c r="B792" t="str">
        <v/>
      </c>
      <c r="E792" s="27"/>
      <c r="F792" s="5"/>
    </row>
    <row r="793" spans="2:6">
      <c r="B793" t="str">
        <v/>
      </c>
      <c r="E793" s="27"/>
      <c r="F793" s="5"/>
    </row>
    <row r="794" spans="2:6">
      <c r="B794" t="str">
        <v/>
      </c>
      <c r="E794" s="27"/>
      <c r="F794" s="5"/>
    </row>
    <row r="795" spans="2:6">
      <c r="B795" t="str">
        <v/>
      </c>
      <c r="E795" s="27"/>
      <c r="F795" s="5"/>
    </row>
    <row r="796" spans="2:6">
      <c r="B796" t="str">
        <v/>
      </c>
      <c r="E796" s="27"/>
      <c r="F796" s="5"/>
    </row>
    <row r="797" spans="2:6">
      <c r="B797" t="str">
        <v/>
      </c>
      <c r="E797" s="27"/>
      <c r="F797" s="5"/>
    </row>
    <row r="798" spans="2:6">
      <c r="B798" t="str">
        <v/>
      </c>
      <c r="E798" s="27"/>
      <c r="F798" s="5"/>
    </row>
    <row r="799" spans="2:6">
      <c r="B799" t="str">
        <v/>
      </c>
      <c r="E799" s="27"/>
      <c r="F799" s="5"/>
    </row>
    <row r="800" spans="2:6">
      <c r="B800" t="str">
        <v/>
      </c>
      <c r="E800" s="27"/>
      <c r="F800" s="5"/>
    </row>
    <row r="801" spans="2:6">
      <c r="B801" t="str">
        <v/>
      </c>
      <c r="E801" s="27"/>
      <c r="F801" s="5"/>
    </row>
    <row r="802" spans="2:6">
      <c r="B802" t="str">
        <v/>
      </c>
      <c r="E802" s="27"/>
      <c r="F802" s="5"/>
    </row>
    <row r="803" spans="2:6">
      <c r="B803" t="str">
        <v/>
      </c>
      <c r="E803" s="27"/>
      <c r="F803" s="5"/>
    </row>
    <row r="804" spans="2:6">
      <c r="B804" t="str">
        <v/>
      </c>
      <c r="E804" s="27"/>
      <c r="F804" s="5"/>
    </row>
    <row r="805" spans="2:6">
      <c r="B805" t="str">
        <v/>
      </c>
      <c r="E805" s="27"/>
      <c r="F805" s="5"/>
    </row>
    <row r="806" spans="2:6">
      <c r="B806" t="str">
        <v/>
      </c>
      <c r="E806" s="27"/>
      <c r="F806" s="5"/>
    </row>
    <row r="807" spans="2:6">
      <c r="B807" t="str">
        <v/>
      </c>
      <c r="E807" s="27"/>
      <c r="F807" s="5"/>
    </row>
    <row r="808" spans="2:6">
      <c r="B808" t="str">
        <v/>
      </c>
      <c r="E808" s="27"/>
      <c r="F808" s="5"/>
    </row>
    <row r="809" spans="2:6">
      <c r="B809" t="str">
        <v/>
      </c>
      <c r="E809" s="27"/>
      <c r="F809" s="5"/>
    </row>
    <row r="810" spans="2:6">
      <c r="B810" t="str">
        <v/>
      </c>
      <c r="E810" s="27"/>
      <c r="F810" s="5"/>
    </row>
    <row r="811" spans="2:6">
      <c r="B811" t="str">
        <v/>
      </c>
      <c r="E811" s="27"/>
      <c r="F811" s="5"/>
    </row>
    <row r="812" spans="2:6">
      <c r="B812" t="str">
        <v/>
      </c>
      <c r="E812" s="27"/>
      <c r="F812" s="5"/>
    </row>
    <row r="813" spans="2:6">
      <c r="B813" t="str">
        <v/>
      </c>
      <c r="E813" s="27"/>
      <c r="F813" s="5"/>
    </row>
    <row r="814" spans="2:6">
      <c r="B814" t="str">
        <v/>
      </c>
      <c r="E814" s="27"/>
      <c r="F814" s="5"/>
    </row>
    <row r="815" spans="2:6">
      <c r="B815" t="str">
        <v/>
      </c>
      <c r="E815" s="27"/>
      <c r="F815" s="5"/>
    </row>
    <row r="816" spans="2:6">
      <c r="B816" t="str">
        <v/>
      </c>
      <c r="E816" s="27"/>
      <c r="F816" s="5"/>
    </row>
    <row r="817" spans="2:6">
      <c r="B817" t="str">
        <v/>
      </c>
      <c r="E817" s="27"/>
      <c r="F817" s="5"/>
    </row>
    <row r="818" spans="2:6">
      <c r="B818" t="str">
        <v/>
      </c>
      <c r="E818" s="27"/>
      <c r="F818" s="5"/>
    </row>
    <row r="819" spans="2:6">
      <c r="B819" t="str">
        <v/>
      </c>
      <c r="E819" s="27"/>
      <c r="F819" s="5"/>
    </row>
    <row r="820" spans="2:6">
      <c r="B820" t="str">
        <v/>
      </c>
      <c r="E820" s="27"/>
      <c r="F820" s="5"/>
    </row>
    <row r="821" spans="2:6">
      <c r="B821" t="str">
        <v/>
      </c>
      <c r="E821" s="27"/>
      <c r="F821" s="5"/>
    </row>
    <row r="822" spans="2:6">
      <c r="B822" t="str">
        <v/>
      </c>
      <c r="E822" s="27"/>
      <c r="F822" s="5"/>
    </row>
    <row r="823" spans="2:6">
      <c r="B823" t="str">
        <v/>
      </c>
      <c r="E823" s="27"/>
      <c r="F823" s="5"/>
    </row>
    <row r="824" spans="2:6">
      <c r="B824" t="str">
        <v/>
      </c>
      <c r="E824" s="27"/>
      <c r="F824" s="5"/>
    </row>
    <row r="825" spans="2:6">
      <c r="B825" t="str">
        <v/>
      </c>
      <c r="E825" s="27"/>
      <c r="F825" s="5"/>
    </row>
    <row r="826" spans="2:6">
      <c r="B826" t="str">
        <v/>
      </c>
      <c r="E826" s="27"/>
      <c r="F826" s="5"/>
    </row>
    <row r="827" spans="2:6">
      <c r="B827" t="str">
        <v/>
      </c>
      <c r="E827" s="27"/>
      <c r="F827" s="5"/>
    </row>
    <row r="828" spans="2:6">
      <c r="B828" t="str">
        <v/>
      </c>
      <c r="E828" s="27"/>
      <c r="F828" s="5"/>
    </row>
    <row r="829" spans="2:6">
      <c r="B829" t="str">
        <v/>
      </c>
      <c r="E829" s="27"/>
      <c r="F829" s="5"/>
    </row>
    <row r="830" spans="2:6">
      <c r="B830" t="str">
        <v/>
      </c>
      <c r="E830" s="27"/>
      <c r="F830" s="5"/>
    </row>
    <row r="831" spans="2:6">
      <c r="B831" t="str">
        <v/>
      </c>
      <c r="E831" s="27"/>
      <c r="F831" s="5"/>
    </row>
    <row r="832" spans="2:6">
      <c r="B832" t="str">
        <v/>
      </c>
      <c r="E832" s="27"/>
      <c r="F832" s="5"/>
    </row>
    <row r="833" spans="2:6">
      <c r="B833" t="str">
        <v/>
      </c>
      <c r="E833" s="27"/>
      <c r="F833" s="5"/>
    </row>
    <row r="834" spans="2:6">
      <c r="B834" t="str">
        <v/>
      </c>
      <c r="E834" s="27"/>
      <c r="F834" s="5"/>
    </row>
    <row r="835" spans="2:6">
      <c r="B835" t="str">
        <v/>
      </c>
      <c r="E835" s="27"/>
      <c r="F835" s="5"/>
    </row>
    <row r="836" spans="2:6">
      <c r="B836" t="str">
        <v/>
      </c>
      <c r="E836" s="27"/>
      <c r="F836" s="5"/>
    </row>
    <row r="837" spans="2:6">
      <c r="B837" t="str">
        <v/>
      </c>
      <c r="E837" s="27"/>
      <c r="F837" s="5"/>
    </row>
    <row r="838" spans="2:6">
      <c r="B838" t="str">
        <v/>
      </c>
      <c r="E838" s="27"/>
      <c r="F838" s="5"/>
    </row>
    <row r="839" spans="2:6">
      <c r="B839" t="str">
        <v/>
      </c>
      <c r="E839" s="27"/>
      <c r="F839" s="5"/>
    </row>
    <row r="840" spans="2:6">
      <c r="B840" t="str">
        <v/>
      </c>
      <c r="E840" s="27"/>
      <c r="F840" s="5"/>
    </row>
    <row r="841" spans="2:6">
      <c r="B841" t="str">
        <v/>
      </c>
      <c r="E841" s="27"/>
      <c r="F841" s="5"/>
    </row>
    <row r="842" spans="2:6">
      <c r="B842" t="str">
        <v/>
      </c>
      <c r="E842" s="27"/>
      <c r="F842" s="5"/>
    </row>
    <row r="843" spans="2:6">
      <c r="B843" t="str">
        <v/>
      </c>
      <c r="E843" s="27"/>
      <c r="F843" s="5"/>
    </row>
    <row r="844" spans="2:6">
      <c r="B844" t="str">
        <v/>
      </c>
      <c r="E844" s="27"/>
      <c r="F844" s="5"/>
    </row>
    <row r="845" spans="2:6">
      <c r="B845" t="str">
        <v/>
      </c>
      <c r="E845" s="27"/>
      <c r="F845" s="5"/>
    </row>
    <row r="846" spans="2:6">
      <c r="B846" t="str">
        <v/>
      </c>
      <c r="E846" s="27"/>
      <c r="F846" s="5"/>
    </row>
    <row r="847" spans="2:6">
      <c r="B847" t="str">
        <v/>
      </c>
      <c r="E847" s="27"/>
      <c r="F847" s="5"/>
    </row>
    <row r="848" spans="2:6">
      <c r="B848" t="str">
        <v/>
      </c>
      <c r="E848" s="27"/>
      <c r="F848" s="5"/>
    </row>
    <row r="849" spans="2:6">
      <c r="B849" t="str">
        <v/>
      </c>
      <c r="E849" s="27"/>
      <c r="F849" s="5"/>
    </row>
    <row r="850" spans="2:6">
      <c r="B850" t="str">
        <v/>
      </c>
      <c r="E850" s="27"/>
      <c r="F850" s="5"/>
    </row>
    <row r="851" spans="2:6">
      <c r="B851" t="str">
        <v/>
      </c>
      <c r="E851" s="27"/>
      <c r="F851" s="5"/>
    </row>
    <row r="852" spans="2:6">
      <c r="B852" t="str">
        <v/>
      </c>
      <c r="E852" s="27"/>
      <c r="F852" s="5"/>
    </row>
    <row r="853" spans="2:6">
      <c r="B853" t="str">
        <v/>
      </c>
      <c r="E853" s="27"/>
      <c r="F853" s="5"/>
    </row>
    <row r="854" spans="2:6">
      <c r="B854" t="str">
        <v/>
      </c>
      <c r="E854" s="27"/>
      <c r="F854" s="5"/>
    </row>
    <row r="855" spans="2:6">
      <c r="B855" t="str">
        <v/>
      </c>
      <c r="E855" s="27"/>
      <c r="F855" s="5"/>
    </row>
    <row r="856" spans="2:6">
      <c r="B856" t="str">
        <v/>
      </c>
      <c r="E856" s="27"/>
      <c r="F856" s="5"/>
    </row>
    <row r="857" spans="2:6">
      <c r="B857" t="str">
        <v/>
      </c>
      <c r="E857" s="27"/>
      <c r="F857" s="5"/>
    </row>
    <row r="858" spans="2:6">
      <c r="B858" t="str">
        <v/>
      </c>
      <c r="E858" s="27"/>
      <c r="F858" s="5"/>
    </row>
    <row r="859" spans="2:6">
      <c r="B859" t="str">
        <v/>
      </c>
      <c r="E859" s="27"/>
      <c r="F859" s="5"/>
    </row>
    <row r="860" spans="2:6">
      <c r="B860" t="str">
        <v/>
      </c>
      <c r="E860" s="27"/>
      <c r="F860" s="5"/>
    </row>
    <row r="861" spans="2:6">
      <c r="B861" t="str">
        <v/>
      </c>
      <c r="E861" s="27"/>
      <c r="F861" s="5"/>
    </row>
    <row r="862" spans="2:6">
      <c r="B862" t="str">
        <v/>
      </c>
      <c r="E862" s="27"/>
      <c r="F862" s="5"/>
    </row>
    <row r="863" spans="2:6">
      <c r="B863" t="str">
        <v/>
      </c>
      <c r="E863" s="27"/>
      <c r="F863" s="5"/>
    </row>
    <row r="864" spans="2:6">
      <c r="B864" t="str">
        <v/>
      </c>
      <c r="E864" s="27"/>
      <c r="F864" s="5"/>
    </row>
    <row r="865" spans="2:6">
      <c r="B865" t="str">
        <v/>
      </c>
      <c r="E865" s="27"/>
      <c r="F865" s="5"/>
    </row>
    <row r="866" spans="2:6">
      <c r="B866" t="str">
        <v/>
      </c>
      <c r="E866" s="27"/>
      <c r="F866" s="5"/>
    </row>
    <row r="867" spans="2:6">
      <c r="B867" t="str">
        <v/>
      </c>
      <c r="E867" s="27"/>
      <c r="F867" s="5"/>
    </row>
    <row r="868" spans="2:6">
      <c r="B868" t="str">
        <v/>
      </c>
      <c r="E868" s="27"/>
      <c r="F868" s="5"/>
    </row>
    <row r="869" spans="2:6">
      <c r="B869" t="str">
        <v/>
      </c>
      <c r="E869" s="27"/>
      <c r="F869" s="5"/>
    </row>
    <row r="870" spans="2:6">
      <c r="B870" t="str">
        <v/>
      </c>
      <c r="E870" s="27"/>
      <c r="F870" s="5"/>
    </row>
    <row r="871" spans="2:6">
      <c r="B871" t="str">
        <v/>
      </c>
      <c r="E871" s="27"/>
      <c r="F871" s="5"/>
    </row>
    <row r="872" spans="2:6">
      <c r="B872" t="str">
        <v/>
      </c>
      <c r="E872" s="27"/>
      <c r="F872" s="5"/>
    </row>
    <row r="873" spans="2:6">
      <c r="B873" t="str">
        <v/>
      </c>
      <c r="E873" s="27"/>
      <c r="F873" s="5"/>
    </row>
    <row r="874" spans="2:6">
      <c r="B874" t="str">
        <v/>
      </c>
      <c r="E874" s="27"/>
      <c r="F874" s="5"/>
    </row>
    <row r="875" spans="2:6">
      <c r="B875" t="str">
        <v/>
      </c>
      <c r="E875" s="27"/>
      <c r="F875" s="5"/>
    </row>
    <row r="876" spans="2:6">
      <c r="B876" t="str">
        <v/>
      </c>
      <c r="E876" s="27"/>
      <c r="F876" s="5"/>
    </row>
    <row r="877" spans="2:6">
      <c r="B877" t="str">
        <v/>
      </c>
      <c r="E877" s="27"/>
      <c r="F877" s="5"/>
    </row>
    <row r="878" spans="2:6">
      <c r="B878" t="str">
        <v/>
      </c>
      <c r="E878" s="27"/>
      <c r="F878" s="5"/>
    </row>
    <row r="879" spans="2:6">
      <c r="B879" t="str">
        <v/>
      </c>
      <c r="E879" s="27"/>
      <c r="F879" s="5"/>
    </row>
    <row r="880" spans="2:6">
      <c r="B880" t="str">
        <v/>
      </c>
      <c r="E880" s="27"/>
      <c r="F880" s="5"/>
    </row>
    <row r="881" spans="2:6">
      <c r="B881" t="str">
        <v/>
      </c>
      <c r="E881" s="27"/>
      <c r="F881" s="5"/>
    </row>
    <row r="882" spans="2:6">
      <c r="B882" t="str">
        <v/>
      </c>
      <c r="E882" s="27"/>
      <c r="F882" s="5"/>
    </row>
    <row r="883" spans="2:6">
      <c r="B883" t="str">
        <v/>
      </c>
      <c r="E883" s="27"/>
      <c r="F883" s="5"/>
    </row>
    <row r="884" spans="2:6">
      <c r="B884" t="str">
        <v/>
      </c>
      <c r="E884" s="27"/>
      <c r="F884" s="5"/>
    </row>
    <row r="885" spans="2:6">
      <c r="B885" t="str">
        <v/>
      </c>
      <c r="E885" s="27"/>
      <c r="F885" s="5"/>
    </row>
    <row r="886" spans="2:6">
      <c r="B886" t="str">
        <v/>
      </c>
      <c r="E886" s="27"/>
      <c r="F886" s="5"/>
    </row>
    <row r="887" spans="2:6">
      <c r="B887" t="str">
        <v/>
      </c>
      <c r="E887" s="27"/>
      <c r="F887" s="5"/>
    </row>
    <row r="888" spans="2:6">
      <c r="B888" t="str">
        <v/>
      </c>
      <c r="E888" s="27"/>
      <c r="F888" s="5"/>
    </row>
    <row r="889" spans="2:6">
      <c r="B889" t="str">
        <v/>
      </c>
      <c r="E889" s="27"/>
      <c r="F889" s="5"/>
    </row>
    <row r="890" spans="2:6">
      <c r="B890" t="str">
        <v/>
      </c>
      <c r="E890" s="27"/>
      <c r="F890" s="5"/>
    </row>
    <row r="891" spans="2:6">
      <c r="B891" t="str">
        <v/>
      </c>
      <c r="E891" s="27"/>
      <c r="F891" s="5"/>
    </row>
    <row r="892" spans="2:6">
      <c r="B892" t="str">
        <v/>
      </c>
      <c r="E892" s="27"/>
      <c r="F892" s="5"/>
    </row>
    <row r="893" spans="2:6">
      <c r="B893" t="str">
        <v/>
      </c>
      <c r="E893" s="27"/>
      <c r="F893" s="5"/>
    </row>
    <row r="894" spans="2:6">
      <c r="B894" t="str">
        <v/>
      </c>
      <c r="E894" s="27"/>
      <c r="F894" s="5"/>
    </row>
    <row r="895" spans="2:6">
      <c r="B895" t="str">
        <v/>
      </c>
      <c r="E895" s="27"/>
      <c r="F895" s="5"/>
    </row>
    <row r="896" spans="2:6">
      <c r="B896" t="str">
        <v/>
      </c>
      <c r="E896" s="27"/>
      <c r="F896" s="5"/>
    </row>
    <row r="897" spans="2:6">
      <c r="B897" t="str">
        <v/>
      </c>
      <c r="E897" s="27"/>
      <c r="F897" s="5"/>
    </row>
    <row r="898" spans="2:6">
      <c r="B898" t="str">
        <v/>
      </c>
      <c r="E898" s="27"/>
      <c r="F898" s="5"/>
    </row>
    <row r="899" spans="2:6">
      <c r="B899" t="str">
        <v/>
      </c>
      <c r="E899" s="27"/>
      <c r="F899" s="5"/>
    </row>
    <row r="900" spans="2:6">
      <c r="B900" t="str">
        <v/>
      </c>
      <c r="E900" s="27"/>
      <c r="F900" s="5"/>
    </row>
    <row r="901" spans="2:6">
      <c r="B901" t="str">
        <v/>
      </c>
      <c r="E901" s="27"/>
      <c r="F901" s="5"/>
    </row>
    <row r="902" spans="2:6">
      <c r="B902" t="str">
        <v/>
      </c>
      <c r="E902" s="27"/>
      <c r="F902" s="5"/>
    </row>
    <row r="903" spans="2:6">
      <c r="B903" t="str">
        <v/>
      </c>
      <c r="E903" s="27"/>
      <c r="F903" s="5"/>
    </row>
    <row r="904" spans="2:6">
      <c r="B904" t="str">
        <v/>
      </c>
      <c r="E904" s="27"/>
      <c r="F904" s="5"/>
    </row>
    <row r="905" spans="2:6">
      <c r="B905" t="str">
        <v/>
      </c>
      <c r="E905" s="27"/>
      <c r="F905" s="5"/>
    </row>
    <row r="906" spans="2:6">
      <c r="B906" t="str">
        <v/>
      </c>
      <c r="E906" s="27"/>
      <c r="F906" s="5"/>
    </row>
    <row r="907" spans="2:6">
      <c r="B907" t="str">
        <v/>
      </c>
      <c r="E907" s="27"/>
      <c r="F907" s="5"/>
    </row>
    <row r="908" spans="2:6">
      <c r="B908" t="str">
        <v/>
      </c>
      <c r="E908" s="27"/>
      <c r="F908" s="5"/>
    </row>
    <row r="909" spans="2:6">
      <c r="B909" t="str">
        <v/>
      </c>
      <c r="E909" s="27"/>
      <c r="F909" s="5"/>
    </row>
    <row r="910" spans="2:6">
      <c r="B910" t="str">
        <v/>
      </c>
      <c r="E910" s="27"/>
      <c r="F910" s="5"/>
    </row>
    <row r="911" spans="2:6">
      <c r="B911" t="str">
        <v/>
      </c>
      <c r="E911" s="27"/>
      <c r="F911" s="5"/>
    </row>
    <row r="912" spans="2:6">
      <c r="B912" t="str">
        <v/>
      </c>
      <c r="E912" s="27"/>
      <c r="F912" s="5"/>
    </row>
    <row r="913" spans="2:6">
      <c r="B913" t="str">
        <v/>
      </c>
      <c r="E913" s="27"/>
      <c r="F913" s="5"/>
    </row>
    <row r="914" spans="2:6">
      <c r="B914" t="str">
        <v/>
      </c>
      <c r="E914" s="27"/>
      <c r="F914" s="5"/>
    </row>
    <row r="915" spans="2:6">
      <c r="B915" t="str">
        <v/>
      </c>
      <c r="E915" s="27"/>
      <c r="F915" s="5"/>
    </row>
    <row r="916" spans="2:6">
      <c r="B916" t="str">
        <v/>
      </c>
      <c r="E916" s="27"/>
      <c r="F916" s="5"/>
    </row>
    <row r="917" spans="2:6">
      <c r="B917" t="str">
        <v/>
      </c>
      <c r="E917" s="27"/>
      <c r="F917" s="5"/>
    </row>
    <row r="918" spans="2:6">
      <c r="B918" t="str">
        <v/>
      </c>
      <c r="E918" s="27"/>
      <c r="F918" s="5"/>
    </row>
    <row r="919" spans="2:6">
      <c r="B919" t="str">
        <v/>
      </c>
      <c r="E919" s="27"/>
      <c r="F919" s="5"/>
    </row>
    <row r="920" spans="2:6">
      <c r="B920" t="str">
        <v/>
      </c>
      <c r="E920" s="27"/>
      <c r="F920" s="5"/>
    </row>
    <row r="921" spans="2:6">
      <c r="B921" t="str">
        <v/>
      </c>
      <c r="E921" s="27"/>
      <c r="F921" s="5"/>
    </row>
    <row r="922" spans="2:6">
      <c r="B922" t="str">
        <v/>
      </c>
      <c r="E922" s="27"/>
      <c r="F922" s="5"/>
    </row>
    <row r="923" spans="2:6">
      <c r="B923" t="str">
        <v/>
      </c>
      <c r="E923" s="27"/>
      <c r="F923" s="5"/>
    </row>
    <row r="924" spans="2:6">
      <c r="B924" t="str">
        <v/>
      </c>
      <c r="E924" s="27"/>
      <c r="F924" s="5"/>
    </row>
    <row r="925" spans="2:6">
      <c r="B925" t="str">
        <v/>
      </c>
      <c r="E925" s="27"/>
      <c r="F925" s="5"/>
    </row>
    <row r="926" spans="2:6">
      <c r="B926" t="str">
        <v/>
      </c>
      <c r="E926" s="27"/>
      <c r="F926" s="5"/>
    </row>
    <row r="927" spans="2:6">
      <c r="B927" t="str">
        <v/>
      </c>
      <c r="E927" s="27"/>
      <c r="F927" s="5"/>
    </row>
    <row r="928" spans="2:6">
      <c r="B928" t="str">
        <v/>
      </c>
      <c r="E928" s="27"/>
      <c r="F928" s="5"/>
    </row>
    <row r="929" spans="2:6">
      <c r="B929" t="str">
        <v/>
      </c>
      <c r="E929" s="27"/>
      <c r="F929" s="5"/>
    </row>
    <row r="930" spans="2:6">
      <c r="B930" t="str">
        <v/>
      </c>
      <c r="E930" s="27"/>
      <c r="F930" s="5"/>
    </row>
    <row r="931" spans="2:6">
      <c r="B931" t="str">
        <v/>
      </c>
      <c r="E931" s="27"/>
      <c r="F931" s="5"/>
    </row>
    <row r="932" spans="2:6">
      <c r="B932" t="str">
        <v/>
      </c>
      <c r="E932" s="27"/>
      <c r="F932" s="5"/>
    </row>
    <row r="933" spans="2:6">
      <c r="B933" t="str">
        <v/>
      </c>
      <c r="E933" s="27"/>
      <c r="F933" s="5"/>
    </row>
    <row r="934" spans="2:6">
      <c r="B934" t="str">
        <v/>
      </c>
      <c r="E934" s="27"/>
      <c r="F934" s="5"/>
    </row>
    <row r="935" spans="2:6">
      <c r="B935" t="str">
        <v/>
      </c>
      <c r="E935" s="27"/>
      <c r="F935" s="5"/>
    </row>
    <row r="936" spans="2:6">
      <c r="B936" t="str">
        <v/>
      </c>
      <c r="E936" s="27"/>
      <c r="F936" s="5"/>
    </row>
    <row r="937" spans="2:6">
      <c r="B937" t="str">
        <v/>
      </c>
      <c r="E937" s="27"/>
      <c r="F937" s="5"/>
    </row>
    <row r="938" spans="2:6">
      <c r="B938" t="str">
        <v/>
      </c>
      <c r="E938" s="27"/>
      <c r="F938" s="5"/>
    </row>
    <row r="939" spans="2:6">
      <c r="B939" t="str">
        <v/>
      </c>
      <c r="E939" s="27"/>
      <c r="F939" s="5"/>
    </row>
    <row r="940" spans="2:6">
      <c r="B940" t="str">
        <v/>
      </c>
      <c r="E940" s="27"/>
      <c r="F940" s="5"/>
    </row>
    <row r="941" spans="2:6">
      <c r="B941" t="str">
        <v/>
      </c>
      <c r="E941" s="27"/>
      <c r="F941" s="5"/>
    </row>
    <row r="942" spans="2:6">
      <c r="B942" t="str">
        <v/>
      </c>
      <c r="E942" s="27"/>
      <c r="F942" s="5"/>
    </row>
    <row r="943" spans="2:6">
      <c r="B943" t="str">
        <v/>
      </c>
      <c r="E943" s="27"/>
      <c r="F943" s="5"/>
    </row>
    <row r="944" spans="2:6">
      <c r="B944" t="str">
        <v/>
      </c>
      <c r="E944" s="27"/>
      <c r="F944" s="5"/>
    </row>
    <row r="945" spans="2:6">
      <c r="B945" t="str">
        <v/>
      </c>
      <c r="E945" s="27"/>
      <c r="F945" s="5"/>
    </row>
    <row r="946" spans="2:6">
      <c r="B946" t="str">
        <v/>
      </c>
      <c r="E946" s="27"/>
      <c r="F946" s="5"/>
    </row>
    <row r="947" spans="2:6">
      <c r="B947" t="str">
        <v/>
      </c>
      <c r="E947" s="27"/>
      <c r="F947" s="5"/>
    </row>
    <row r="948" spans="2:6">
      <c r="B948" t="str">
        <v/>
      </c>
      <c r="E948" s="27"/>
      <c r="F948" s="5"/>
    </row>
    <row r="949" spans="2:6">
      <c r="B949" t="str">
        <v/>
      </c>
      <c r="E949" s="27"/>
      <c r="F949" s="5"/>
    </row>
    <row r="950" spans="2:6">
      <c r="B950" t="str">
        <v/>
      </c>
      <c r="E950" s="27"/>
      <c r="F950" s="5"/>
    </row>
    <row r="951" spans="2:6">
      <c r="B951" t="str">
        <v/>
      </c>
      <c r="E951" s="27"/>
      <c r="F951" s="5"/>
    </row>
    <row r="952" spans="2:6">
      <c r="B952" t="str">
        <v/>
      </c>
      <c r="E952" s="27"/>
      <c r="F952" s="5"/>
    </row>
    <row r="953" spans="2:6">
      <c r="B953" t="str">
        <v/>
      </c>
      <c r="E953" s="27"/>
      <c r="F953" s="5"/>
    </row>
    <row r="954" spans="2:6">
      <c r="B954" t="str">
        <v/>
      </c>
      <c r="E954" s="27"/>
      <c r="F954" s="5"/>
    </row>
    <row r="955" spans="2:6">
      <c r="B955" t="str">
        <v/>
      </c>
      <c r="E955" s="27"/>
      <c r="F955" s="5"/>
    </row>
    <row r="956" spans="2:6">
      <c r="B956" t="str">
        <v/>
      </c>
      <c r="E956" s="27"/>
      <c r="F956" s="5"/>
    </row>
    <row r="957" spans="2:6">
      <c r="B957" t="str">
        <v/>
      </c>
      <c r="E957" s="27"/>
      <c r="F957" s="5"/>
    </row>
    <row r="958" spans="2:6">
      <c r="B958" t="str">
        <v/>
      </c>
      <c r="E958" s="27"/>
      <c r="F958" s="5"/>
    </row>
    <row r="959" spans="2:6">
      <c r="B959" t="str">
        <v/>
      </c>
      <c r="E959" s="27"/>
      <c r="F959" s="5"/>
    </row>
    <row r="960" spans="2:6">
      <c r="B960" t="str">
        <v/>
      </c>
      <c r="E960" s="27"/>
      <c r="F960" s="5"/>
    </row>
    <row r="961" spans="2:6">
      <c r="B961" t="str">
        <v/>
      </c>
      <c r="E961" s="27"/>
      <c r="F961" s="5"/>
    </row>
    <row r="962" spans="2:6">
      <c r="B962" t="str">
        <v/>
      </c>
      <c r="E962" s="27"/>
      <c r="F962" s="5"/>
    </row>
    <row r="963" spans="2:6">
      <c r="B963" t="str">
        <v/>
      </c>
      <c r="E963" s="27"/>
      <c r="F963" s="5"/>
    </row>
    <row r="964" spans="2:6">
      <c r="B964" t="str">
        <v/>
      </c>
      <c r="E964" s="27"/>
      <c r="F964" s="5"/>
    </row>
    <row r="965" spans="2:6">
      <c r="B965" t="str">
        <v/>
      </c>
      <c r="E965" s="27"/>
      <c r="F965" s="5"/>
    </row>
    <row r="966" spans="2:6">
      <c r="B966" t="str">
        <v/>
      </c>
      <c r="E966" s="27"/>
      <c r="F966" s="5"/>
    </row>
    <row r="967" spans="2:6">
      <c r="B967" t="str">
        <v/>
      </c>
      <c r="E967" s="27"/>
      <c r="F967" s="5"/>
    </row>
    <row r="968" spans="2:6">
      <c r="B968" t="str">
        <v/>
      </c>
      <c r="E968" s="27"/>
      <c r="F968" s="5"/>
    </row>
    <row r="969" spans="2:6">
      <c r="B969" t="str">
        <v/>
      </c>
      <c r="E969" s="27"/>
      <c r="F969" s="5"/>
    </row>
    <row r="970" spans="2:6">
      <c r="B970" t="str">
        <v/>
      </c>
      <c r="E970" s="27"/>
      <c r="F970" s="5"/>
    </row>
    <row r="971" spans="2:6">
      <c r="B971" t="str">
        <v/>
      </c>
      <c r="E971" s="27"/>
      <c r="F971" s="5"/>
    </row>
    <row r="972" spans="2:6">
      <c r="B972" t="str">
        <v/>
      </c>
      <c r="E972" s="27"/>
      <c r="F972" s="5"/>
    </row>
    <row r="973" spans="2:6">
      <c r="B973" t="str">
        <v/>
      </c>
      <c r="E973" s="27"/>
      <c r="F973" s="5"/>
    </row>
    <row r="974" spans="2:6">
      <c r="B974" t="str">
        <v/>
      </c>
      <c r="E974" s="27"/>
      <c r="F974" s="5"/>
    </row>
    <row r="975" spans="2:6">
      <c r="B975" t="str">
        <v/>
      </c>
      <c r="E975" s="27"/>
      <c r="F975" s="5"/>
    </row>
    <row r="976" spans="2:6">
      <c r="B976" t="str">
        <v/>
      </c>
      <c r="E976" s="27"/>
      <c r="F976" s="5"/>
    </row>
    <row r="977" spans="2:6">
      <c r="B977" t="str">
        <v/>
      </c>
      <c r="E977" s="27"/>
      <c r="F977" s="5"/>
    </row>
    <row r="978" spans="2:6">
      <c r="B978" t="str">
        <v/>
      </c>
      <c r="E978" s="27"/>
      <c r="F978" s="5"/>
    </row>
    <row r="979" spans="2:6">
      <c r="B979" t="str">
        <v/>
      </c>
      <c r="E979" s="27"/>
      <c r="F979" s="5"/>
    </row>
    <row r="980" spans="2:6">
      <c r="B980" t="str">
        <v/>
      </c>
      <c r="E980" s="27"/>
      <c r="F980" s="5"/>
    </row>
    <row r="981" spans="2:6">
      <c r="B981" t="str">
        <v/>
      </c>
      <c r="E981" s="27"/>
      <c r="F981" s="5"/>
    </row>
    <row r="982" spans="2:6">
      <c r="B982" t="str">
        <v/>
      </c>
      <c r="E982" s="27"/>
      <c r="F982" s="5"/>
    </row>
    <row r="983" spans="2:6">
      <c r="B983" t="str">
        <v/>
      </c>
      <c r="E983" s="27"/>
      <c r="F983" s="5"/>
    </row>
    <row r="984" spans="2:6">
      <c r="B984" t="str">
        <v/>
      </c>
      <c r="E984" s="27"/>
      <c r="F984" s="5"/>
    </row>
    <row r="985" spans="2:6">
      <c r="B985" t="str">
        <v/>
      </c>
      <c r="E985" s="27"/>
      <c r="F985" s="5"/>
    </row>
    <row r="986" spans="2:6">
      <c r="B986" t="str">
        <v/>
      </c>
      <c r="E986" s="27"/>
      <c r="F986" s="5"/>
    </row>
    <row r="987" spans="2:6">
      <c r="B987" t="str">
        <v/>
      </c>
      <c r="E987" s="27"/>
      <c r="F987" s="5"/>
    </row>
    <row r="988" spans="2:6">
      <c r="B988" t="str">
        <v/>
      </c>
      <c r="E988" s="27"/>
      <c r="F988" s="5"/>
    </row>
    <row r="989" spans="2:6">
      <c r="B989" t="str">
        <v/>
      </c>
      <c r="E989" s="27"/>
      <c r="F989" s="5"/>
    </row>
    <row r="990" spans="2:6">
      <c r="B990" t="str">
        <v/>
      </c>
      <c r="E990" s="27"/>
      <c r="F990" s="5"/>
    </row>
    <row r="991" spans="2:6">
      <c r="B991" t="str">
        <v/>
      </c>
      <c r="E991" s="27"/>
      <c r="F991" s="5"/>
    </row>
    <row r="992" spans="2:6">
      <c r="B992" t="str">
        <v/>
      </c>
      <c r="E992" s="27"/>
      <c r="F992" s="5"/>
    </row>
    <row r="993" spans="2:6">
      <c r="B993" t="str">
        <v/>
      </c>
      <c r="E993" s="27"/>
      <c r="F993" s="5"/>
    </row>
    <row r="994" spans="2:6">
      <c r="B994" t="str">
        <v/>
      </c>
      <c r="E994" s="27"/>
      <c r="F994" s="5"/>
    </row>
    <row r="995" spans="2:6">
      <c r="B995" t="str">
        <v/>
      </c>
      <c r="E995" s="27"/>
      <c r="F995" s="5"/>
    </row>
    <row r="996" spans="2:6">
      <c r="B996" t="str">
        <v/>
      </c>
      <c r="E996" s="27"/>
      <c r="F996" s="5"/>
    </row>
    <row r="997" spans="2:6">
      <c r="B997" t="str">
        <v/>
      </c>
      <c r="E997" s="27"/>
      <c r="F997" s="5"/>
    </row>
    <row r="998" spans="2:6">
      <c r="B998" t="str">
        <v/>
      </c>
      <c r="E998" s="27"/>
      <c r="F998" s="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メニュー</vt:lpstr>
      <vt:lpstr>リスト</vt:lpstr>
      <vt:lpstr>一覧</vt:lpstr>
      <vt:lpstr>Config</vt:lpstr>
      <vt:lpstr>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平松 誠一朗</dc:creator>
  <cp:lastModifiedBy>WA-X1334</cp:lastModifiedBy>
  <dcterms:created xsi:type="dcterms:W3CDTF">2015-06-05T18:19:34Z</dcterms:created>
  <dcterms:modified xsi:type="dcterms:W3CDTF">2025-05-29T06:25:26Z</dcterms:modified>
</cp:coreProperties>
</file>